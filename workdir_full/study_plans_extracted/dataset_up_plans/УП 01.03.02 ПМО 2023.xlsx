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чебный план" sheetId="1" r:id="rId4"/>
    <sheet state="visible" name="Матрица компетенций" sheetId="2" r:id="rId5"/>
    <sheet state="visible" name="Описания компетенций" sheetId="3" r:id="rId6"/>
  </sheets>
  <definedNames/>
  <calcPr/>
  <extLst>
    <ext uri="GoogleSheetsCustomDataVersion1">
      <go:sheetsCustomData xmlns:go="http://customooxmlschemas.google.com/" r:id="rId7" roundtripDataSignature="AMtx7mhr84XI9kppoPWJ9hWHrW3k308ee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68">
      <text>
        <t xml:space="preserve">======
ID#AAAAlH8saWI
Киосова Лариса Витальевна    (2022-12-05 13:32:22)
Недостающая дисциплина в соответствии с УП</t>
      </text>
    </comment>
  </commentList>
  <extLst>
    <ext uri="GoogleSheetsCustomDataVersion1">
      <go:sheetsCustomData xmlns:go="http://customooxmlschemas.google.com/" r:id="rId1" roundtripDataSignature="AMtx7miXbbTGZWLRSUgDBQ9ci5ybE0Hkhw=="/>
    </ext>
  </extLst>
</comments>
</file>

<file path=xl/sharedStrings.xml><?xml version="1.0" encoding="utf-8"?>
<sst xmlns="http://schemas.openxmlformats.org/spreadsheetml/2006/main" count="593" uniqueCount="273">
  <si>
    <r>
      <rPr>
        <rFont val="Times New Roman"/>
        <color theme="1"/>
        <sz val="8.0"/>
      </rPr>
      <t>УТВЕРЖДАЮ</t>
    </r>
  </si>
  <si>
    <r>
      <rPr>
        <rFont val="Times New Roman"/>
        <color theme="1"/>
        <sz val="8.0"/>
      </rPr>
      <t>ректор Финансового университета</t>
    </r>
  </si>
  <si>
    <r>
      <rPr>
        <rFont val="Times New Roman"/>
        <color theme="1"/>
        <sz val="8.0"/>
        <u/>
      </rPr>
      <t>                               </t>
    </r>
    <r>
      <rPr>
        <rFont val="Times New Roman"/>
        <color theme="1"/>
        <sz val="8.0"/>
      </rPr>
      <t>М. А. Эскиндаров "</t>
    </r>
    <r>
      <rPr>
        <rFont val="Times New Roman"/>
        <color theme="1"/>
        <sz val="8.0"/>
        <u/>
      </rPr>
      <t>          </t>
    </r>
    <r>
      <rPr>
        <rFont val="Times New Roman"/>
        <color theme="1"/>
        <sz val="8.0"/>
      </rPr>
      <t xml:space="preserve">" </t>
    </r>
    <r>
      <rPr>
        <rFont val="Times New Roman"/>
        <color theme="1"/>
        <sz val="8.0"/>
        <u/>
      </rPr>
      <t>                                     </t>
    </r>
    <r>
      <rPr>
        <rFont val="Times New Roman"/>
        <color theme="1"/>
        <sz val="8.0"/>
      </rPr>
      <t>20</t>
    </r>
    <r>
      <rPr>
        <rFont val="Times New Roman"/>
        <color theme="1"/>
        <sz val="8.0"/>
        <u/>
      </rPr>
      <t>         </t>
    </r>
    <r>
      <rPr>
        <rFont val="Times New Roman"/>
        <color theme="1"/>
        <sz val="8.0"/>
      </rPr>
      <t>г</t>
    </r>
  </si>
  <si>
    <r>
      <rPr>
        <rFont val="Times New Roman"/>
        <b/>
        <color theme="1"/>
        <sz val="8.0"/>
      </rPr>
      <t>УЧЕБНЫЙ ПЛАН</t>
    </r>
  </si>
  <si>
    <t xml:space="preserve">Факультет </t>
  </si>
  <si>
    <t>направление подготовки:  код  и наименование направления подготовки,  ОП "Наименование"</t>
  </si>
  <si>
    <t>Код и наименование блоков, содержательных модулей, дисциплин</t>
  </si>
  <si>
    <t>Департаменты, кафедры, партнеры</t>
  </si>
  <si>
    <t>Код компетенций</t>
  </si>
  <si>
    <t>По семестрам</t>
  </si>
  <si>
    <t>Текущий контроль</t>
  </si>
  <si>
    <t>Зачетные единицы</t>
  </si>
  <si>
    <t>Часов</t>
  </si>
  <si>
    <t>1 курс. Распределение учебной работы студентов по семестрам и видам учебных занятий</t>
  </si>
  <si>
    <t>2 курс. Распределение учебной работы студентов по семестрам и видам учебных занятий</t>
  </si>
  <si>
    <t>3 курс. Распределение учебной работы студентов по семестрам и видам учебных занятий</t>
  </si>
  <si>
    <t>4 курс. Распределение учебной работы студентов по семестрам и видам учебных занятий</t>
  </si>
  <si>
    <t>Промежут аттестация</t>
  </si>
  <si>
    <t>Курсовая проект (работа)</t>
  </si>
  <si>
    <t>Всего</t>
  </si>
  <si>
    <t>В том числе</t>
  </si>
  <si>
    <t>РАР</t>
  </si>
  <si>
    <t>ДТЗ</t>
  </si>
  <si>
    <t>к/р</t>
  </si>
  <si>
    <t>Эссе</t>
  </si>
  <si>
    <t>проектная работа</t>
  </si>
  <si>
    <t>Аудиторных</t>
  </si>
  <si>
    <t>1 семестр</t>
  </si>
  <si>
    <t>2 семестр</t>
  </si>
  <si>
    <t>3 семестр</t>
  </si>
  <si>
    <t>4 семестр</t>
  </si>
  <si>
    <t>5 семестр</t>
  </si>
  <si>
    <t>6 семестр</t>
  </si>
  <si>
    <t>7 семестр</t>
  </si>
  <si>
    <t>8 семестр</t>
  </si>
  <si>
    <t>Экзамен</t>
  </si>
  <si>
    <t>Зачет</t>
  </si>
  <si>
    <t>Лекции</t>
  </si>
  <si>
    <t>Семинары, практические занятия</t>
  </si>
  <si>
    <t>Самостоятельная работа</t>
  </si>
  <si>
    <t>Часов аудиторных занятий в неделю</t>
  </si>
  <si>
    <t>17 недель</t>
  </si>
  <si>
    <t>Б.1.</t>
  </si>
  <si>
    <t>Блок 1. Дисциплины (модули)</t>
  </si>
  <si>
    <t>Б.1.1.</t>
  </si>
  <si>
    <t>Обязательная часть</t>
  </si>
  <si>
    <t>Б.1.1.1.</t>
  </si>
  <si>
    <t>Общегуманитарный цикл</t>
  </si>
  <si>
    <t>Б.1.1.1.2.</t>
  </si>
  <si>
    <t>Финансовый университет:история и современность</t>
  </si>
  <si>
    <t>ДАД</t>
  </si>
  <si>
    <t>1</t>
  </si>
  <si>
    <t>Б.1.1.1.11.</t>
  </si>
  <si>
    <t>История России</t>
  </si>
  <si>
    <t>ДГН</t>
  </si>
  <si>
    <t>Б.1.1.1.1.</t>
  </si>
  <si>
    <t>Безопасность жизнедеятельности</t>
  </si>
  <si>
    <t>КБЖД</t>
  </si>
  <si>
    <t>Б.1.1.1.4.</t>
  </si>
  <si>
    <t>Физическая культура и спорт</t>
  </si>
  <si>
    <t>КФВ</t>
  </si>
  <si>
    <t>Б.1.1.1.3.</t>
  </si>
  <si>
    <t>Иностранный язык</t>
  </si>
  <si>
    <t>ДАЯиПК</t>
  </si>
  <si>
    <t>4</t>
  </si>
  <si>
    <t>1-3</t>
  </si>
  <si>
    <t>2,4</t>
  </si>
  <si>
    <t>Иностранный язык в профессиональной сфере</t>
  </si>
  <si>
    <t>6</t>
  </si>
  <si>
    <t>5</t>
  </si>
  <si>
    <t>6,5</t>
  </si>
  <si>
    <t>Б.1.1.1.5.</t>
  </si>
  <si>
    <t>Философия</t>
  </si>
  <si>
    <t>Б.1.1.1.9.</t>
  </si>
  <si>
    <t>Информационное право</t>
  </si>
  <si>
    <t>ДМиПП</t>
  </si>
  <si>
    <t>Экономическая теория</t>
  </si>
  <si>
    <t>ДЭТ</t>
  </si>
  <si>
    <t>Основы деловой и публичной коммуникации</t>
  </si>
  <si>
    <t>ДИЯиМК</t>
  </si>
  <si>
    <t>7</t>
  </si>
  <si>
    <t>Б.1.1.2.</t>
  </si>
  <si>
    <t>Цикл математики и информатики</t>
  </si>
  <si>
    <t>Б.1.1.3.7.</t>
  </si>
  <si>
    <t>Введение в специальность</t>
  </si>
  <si>
    <t>Б.1.1.2.3.</t>
  </si>
  <si>
    <t>Теория вероятностей и математическая статистика</t>
  </si>
  <si>
    <t>3</t>
  </si>
  <si>
    <t>2</t>
  </si>
  <si>
    <t>3,2</t>
  </si>
  <si>
    <t>Финансовая математика и ее приложения</t>
  </si>
  <si>
    <t>Обработка данных и моделирование в табличном редакторе</t>
  </si>
  <si>
    <t>Математические модели микро- и макроэкономики</t>
  </si>
  <si>
    <t>ДМ</t>
  </si>
  <si>
    <t>Б.1.1.2.1.</t>
  </si>
  <si>
    <t>Дискретная математика</t>
  </si>
  <si>
    <t>1,2</t>
  </si>
  <si>
    <t>Б.1.1.3.</t>
  </si>
  <si>
    <t>Общепрофессиональный цикл</t>
  </si>
  <si>
    <t>Алгоритмы и структуры данных в языке Python*</t>
  </si>
  <si>
    <t>1-2</t>
  </si>
  <si>
    <t>Практикум по программированию</t>
  </si>
  <si>
    <t>1-4</t>
  </si>
  <si>
    <t>Б.1.2.2.4.</t>
  </si>
  <si>
    <t>Технологии обработки данных</t>
  </si>
  <si>
    <t>Б.1.1.3.2.</t>
  </si>
  <si>
    <t>Системы управления базами данных*</t>
  </si>
  <si>
    <t>3,4</t>
  </si>
  <si>
    <t>Б.1.1.3.3.</t>
  </si>
  <si>
    <t>Машинное обучение</t>
  </si>
  <si>
    <t>Б.1.2.</t>
  </si>
  <si>
    <t>Часть, формируемая участниками образовательных отношений</t>
  </si>
  <si>
    <t>Б.1.2.1.</t>
  </si>
  <si>
    <t>Общефакультетский (предпрофильный) цикл</t>
  </si>
  <si>
    <t>Б.1.1.3.9.</t>
  </si>
  <si>
    <t>Алгебра и геометрия</t>
  </si>
  <si>
    <t>Б.1.2.1.1.</t>
  </si>
  <si>
    <t>Математический анализ</t>
  </si>
  <si>
    <t>Б.1.1.3.10.</t>
  </si>
  <si>
    <t>Дифференциальные уравнения</t>
  </si>
  <si>
    <t>Б.1.2.1.4.</t>
  </si>
  <si>
    <t>Функциональный анализ</t>
  </si>
  <si>
    <t>Б.1.2.1.5.</t>
  </si>
  <si>
    <t>Численные методы</t>
  </si>
  <si>
    <t>Математическое и имитационное моделирование</t>
  </si>
  <si>
    <t>Эконометрика</t>
  </si>
  <si>
    <t>Современные банковские продукты и услуги</t>
  </si>
  <si>
    <t>ДБДиМР</t>
  </si>
  <si>
    <t>Технологии обработки больших данных</t>
  </si>
  <si>
    <t>Б.1.2.2.</t>
  </si>
  <si>
    <t>Профиль и цикл профиля (элективный)</t>
  </si>
  <si>
    <t>Профиль "Прикладное машинное обучение"</t>
  </si>
  <si>
    <t>Б.1.2.1.3.</t>
  </si>
  <si>
    <t>Глубокое обучение</t>
  </si>
  <si>
    <t>Б.1.2.2.1.</t>
  </si>
  <si>
    <t>Обработка текстов на естественных языках</t>
  </si>
  <si>
    <t>Б.1.2.2.7.</t>
  </si>
  <si>
    <t>Рекомендательные системы и коллаборативная фильтрация</t>
  </si>
  <si>
    <t>Б.1.2.2.8.</t>
  </si>
  <si>
    <t>Семантические технологии</t>
  </si>
  <si>
    <t>Б.1.2.2.5.</t>
  </si>
  <si>
    <t>Прикладные задачи машинного обучения</t>
  </si>
  <si>
    <t>Б.1.2.2.3.</t>
  </si>
  <si>
    <t>Машинное зрение</t>
  </si>
  <si>
    <t>Б.1.2.2.2.</t>
  </si>
  <si>
    <t>Машинное обучение в семантическом и сетевом анализе</t>
  </si>
  <si>
    <t>Методы оптимизации</t>
  </si>
  <si>
    <t>Электронные деньги</t>
  </si>
  <si>
    <t>Б.1.2.2.6.</t>
  </si>
  <si>
    <t>Технологии работы с открытыми данными</t>
  </si>
  <si>
    <t>Цикл профиля (элективный) (выбор 2 из 6)</t>
  </si>
  <si>
    <t>Прикладное программирование</t>
  </si>
  <si>
    <t>Б.1.2.2.3.1.</t>
  </si>
  <si>
    <t>Основы веб-разработки</t>
  </si>
  <si>
    <t>Б.1.2.2.3.2.</t>
  </si>
  <si>
    <t>Объектно-ориентированное проектирование</t>
  </si>
  <si>
    <t>Б.1.2.2.3.3.</t>
  </si>
  <si>
    <t>Основы мобильной разработки</t>
  </si>
  <si>
    <t>ERP-системы</t>
  </si>
  <si>
    <t>Основы корпоративных информационных систем</t>
  </si>
  <si>
    <t>Основы бухгалтерских информационных систем</t>
  </si>
  <si>
    <t>Разработка приложений в системе 1С Предприятие</t>
  </si>
  <si>
    <t>Системное программирование</t>
  </si>
  <si>
    <t>Разработка эффективных вычислительных алгоритмов</t>
  </si>
  <si>
    <t>Низкоуровневое программирование</t>
  </si>
  <si>
    <t>Программирование для встраиваемых систем</t>
  </si>
  <si>
    <t>Архитектура программного обеспечения</t>
  </si>
  <si>
    <t>Основы проектирования информационных систем</t>
  </si>
  <si>
    <t>Архитектура и дизайн программного обеспечения</t>
  </si>
  <si>
    <t>Тестирование программного обеспечения</t>
  </si>
  <si>
    <t>Анализ данных</t>
  </si>
  <si>
    <t>Методы визуализации данных</t>
  </si>
  <si>
    <t>Основы численных методов</t>
  </si>
  <si>
    <t>Основы математического моделирования</t>
  </si>
  <si>
    <t>Разработка распределенных приложений</t>
  </si>
  <si>
    <t>Технологии параллельного программирования</t>
  </si>
  <si>
    <t>Основы технологии интернета вещей</t>
  </si>
  <si>
    <t>Микросервисная архитектура</t>
  </si>
  <si>
    <r>
      <rPr>
        <rFont val="Times New Roman"/>
        <b val="0"/>
        <color theme="1"/>
        <sz val="8.0"/>
      </rPr>
      <t>Б.2.</t>
    </r>
  </si>
  <si>
    <t>Блок 2. Практика, в том числе научно-исследовательская работа (НИР)</t>
  </si>
  <si>
    <t>Б.2.1.</t>
  </si>
  <si>
    <t>Учебная практика</t>
  </si>
  <si>
    <t>8</t>
  </si>
  <si>
    <t>Б.2.1.1.</t>
  </si>
  <si>
    <t>Учебная практика: технологическая (проектно- технологическая) практика</t>
  </si>
  <si>
    <t>Производственная практика</t>
  </si>
  <si>
    <t>Производственная практика: технологическая (проектно-технологическая) практика</t>
  </si>
  <si>
    <t>Производственная практика: преддипломная практика</t>
  </si>
  <si>
    <t>Научно исследовательская работа</t>
  </si>
  <si>
    <t>2,4,6</t>
  </si>
  <si>
    <r>
      <rPr>
        <rFont val="Times New Roman"/>
        <b/>
        <color rgb="FF000000"/>
        <sz val="8.0"/>
      </rPr>
      <t>Б.3.</t>
    </r>
  </si>
  <si>
    <r>
      <rPr>
        <rFont val="Times New Roman"/>
        <b/>
        <color rgb="FF000000"/>
        <sz val="8.0"/>
      </rPr>
      <t>Блок 3. Государственная итоговая аттестация</t>
    </r>
  </si>
  <si>
    <r>
      <rPr>
        <rFont val="Times New Roman"/>
        <color rgb="FF000000"/>
        <sz val="8.0"/>
      </rPr>
      <t>Б.3.1.</t>
    </r>
  </si>
  <si>
    <r>
      <rPr>
        <rFont val="Times New Roman"/>
        <color rgb="FF000000"/>
        <sz val="8.0"/>
      </rPr>
      <t>Подготовка к сдаче и сдача государственного экзамена</t>
    </r>
  </si>
  <si>
    <r>
      <rPr>
        <rFont val="Times New Roman"/>
        <color rgb="FF000000"/>
        <sz val="8.0"/>
      </rPr>
      <t>Б.3.2.</t>
    </r>
  </si>
  <si>
    <t>Подготовка к процедуре защиты ии процедура защиты выпускной квалификационной работы</t>
  </si>
  <si>
    <t>ИТОГО</t>
  </si>
  <si>
    <r>
      <rPr>
        <rFont val="Times New Roman"/>
        <b val="0"/>
        <color theme="1"/>
        <sz val="8.0"/>
      </rPr>
      <t>Б.4.</t>
    </r>
  </si>
  <si>
    <t>Элективные дисциплины по физической культуре и спорту</t>
  </si>
  <si>
    <r>
      <rPr>
        <rFont val="Times New Roman"/>
        <b val="0"/>
        <color theme="1"/>
        <sz val="8.0"/>
      </rPr>
      <t>Физв</t>
    </r>
  </si>
  <si>
    <t>УК-7</t>
  </si>
  <si>
    <r>
      <rPr>
        <rFont val="Times New Roman"/>
        <b val="0"/>
        <color theme="1"/>
        <sz val="8.0"/>
      </rPr>
      <t>Б.5.</t>
    </r>
  </si>
  <si>
    <t>Факультативы</t>
  </si>
  <si>
    <t>*максимальный объем аудиторных учебных занятий в неделю при освоении программ бакалавриата в очной форме обучения составляет в среднем за курс обучения не более 27 академических часов.</t>
  </si>
  <si>
    <t>Учебно-научный семинар/проект в рамках Научно-исследовательской работы проводится с 1 по 4 семестры, исходя из 10 ч. аудиторной нагрузки (4 ч. лекций, 6 ч. семинаров) на 1 курсе и 20 ч. аудиторной нагрзки (8 ч. лекций, 12 ч. семинаров) на 2 курсе с зачетами в 2  и 4 семестрах. Конкретный перечень компетенций, формируемых и проверяемых в ходе государственной итоговой аттестации, содержится в программе государственной итоговой аттестации.</t>
  </si>
  <si>
    <t>* лекционные занятия по этим дисциплинам возможно проводить с использованием дистанционных образовательных технологий</t>
  </si>
  <si>
    <r>
      <rPr>
        <rFont val="Times New Roman"/>
        <color theme="1"/>
        <sz val="8.0"/>
      </rPr>
      <t>Согласовано:</t>
    </r>
  </si>
  <si>
    <r>
      <rPr>
        <rFont val="Times New Roman"/>
        <color theme="1"/>
        <sz val="8.0"/>
      </rPr>
      <t xml:space="preserve">Проректор по учебной и методической работе         </t>
    </r>
    <r>
      <rPr>
        <rFont val="Times New Roman"/>
        <color theme="1"/>
        <sz val="8.0"/>
        <u/>
      </rPr>
      <t>                                   </t>
    </r>
    <r>
      <rPr>
        <rFont val="Times New Roman"/>
        <color theme="1"/>
        <sz val="8.0"/>
      </rPr>
      <t>Е.А. Каменева                                                            Учебный план вносит:</t>
    </r>
  </si>
  <si>
    <r>
      <rPr>
        <rFont val="Times New Roman"/>
        <color theme="1"/>
        <sz val="8.0"/>
      </rPr>
      <t xml:space="preserve">Начальник Управления методического обеспечения образовательных программ               </t>
    </r>
    <r>
      <rPr>
        <rFont val="Times New Roman"/>
        <color theme="1"/>
        <sz val="8.0"/>
        <u/>
      </rPr>
      <t>                                 </t>
    </r>
    <r>
      <rPr>
        <rFont val="Times New Roman"/>
        <color theme="1"/>
        <sz val="8.0"/>
      </rPr>
      <t xml:space="preserve">  Н. И. Сергеева                                                          Декан факультета                       </t>
    </r>
    <r>
      <rPr>
        <rFont val="Times New Roman"/>
        <color theme="1"/>
        <sz val="8.0"/>
        <u/>
      </rPr>
      <t>                                   </t>
    </r>
    <r>
      <rPr>
        <rFont val="Times New Roman"/>
        <color theme="1"/>
        <sz val="8.0"/>
      </rPr>
      <t xml:space="preserve"> ФИО</t>
    </r>
  </si>
  <si>
    <r>
      <rPr>
        <rFont val="Times New Roman"/>
        <color theme="1"/>
        <sz val="8.0"/>
      </rPr>
      <t xml:space="preserve">Руководитель программы            </t>
    </r>
    <r>
      <rPr>
        <rFont val="Times New Roman"/>
        <color theme="1"/>
        <sz val="8.0"/>
        <u/>
      </rPr>
      <t>                               </t>
    </r>
    <r>
      <rPr>
        <rFont val="Times New Roman"/>
        <color theme="1"/>
        <sz val="8.0"/>
      </rPr>
      <t xml:space="preserve"> ФИО</t>
    </r>
  </si>
  <si>
    <r>
      <rPr>
        <rFont val="Times New Roman"/>
        <color theme="1"/>
        <sz val="8.0"/>
      </rPr>
      <t>Одобрено Учёным советом Финансово-экономического факультета</t>
    </r>
  </si>
  <si>
    <r>
      <rPr>
        <rFont val="Times New Roman"/>
        <color theme="1"/>
        <sz val="8.0"/>
      </rPr>
      <t>протокол №       от                                 2018 г.</t>
    </r>
  </si>
  <si>
    <r>
      <rPr>
        <rFont val="Times New Roman"/>
        <b/>
        <color theme="1"/>
        <sz val="8.0"/>
      </rPr>
      <t>МАТРИЦА КОМПЕТЕНЦИЙ</t>
    </r>
  </si>
  <si>
    <t>УК-1</t>
  </si>
  <si>
    <t>УК-2</t>
  </si>
  <si>
    <t>УК-3</t>
  </si>
  <si>
    <t>УК-4</t>
  </si>
  <si>
    <t>УК-5</t>
  </si>
  <si>
    <t>УК-6</t>
  </si>
  <si>
    <t>УК-8</t>
  </si>
  <si>
    <t>УК-9</t>
  </si>
  <si>
    <t>УК-10</t>
  </si>
  <si>
    <t>УК-11</t>
  </si>
  <si>
    <t>УК-12</t>
  </si>
  <si>
    <t>УК-13</t>
  </si>
  <si>
    <t>УК-14</t>
  </si>
  <si>
    <t>УК-15</t>
  </si>
  <si>
    <t>ПКН-1</t>
  </si>
  <si>
    <t>ПКН-2</t>
  </si>
  <si>
    <t>ПКН-3</t>
  </si>
  <si>
    <t>ПКН-4</t>
  </si>
  <si>
    <t>ПКН-5</t>
  </si>
  <si>
    <t>ПКН-6</t>
  </si>
  <si>
    <t>ПКП-1</t>
  </si>
  <si>
    <t>ПКП-2</t>
  </si>
  <si>
    <t>ПКП-3</t>
  </si>
  <si>
    <t>ПКП-4</t>
  </si>
  <si>
    <t>ПКП-5</t>
  </si>
  <si>
    <t>ПКП-6</t>
  </si>
  <si>
    <t>Финансы, деньги, кредит</t>
  </si>
  <si>
    <t>Подготовка к сдаче и сдача государственного экзамена</t>
  </si>
  <si>
    <t>Выполнение и защита выпускной квалификационной работы</t>
  </si>
  <si>
    <r>
      <rPr>
        <rFont val="Times New Roman"/>
        <b/>
        <color theme="1"/>
        <sz val="8.0"/>
      </rPr>
      <t>ОПИСАНИЯ КОМПЕТЕНЦИЙ</t>
    </r>
  </si>
  <si>
    <r>
      <rPr>
        <rFont val="Times New Roman"/>
        <color theme="1"/>
        <sz val="7.0"/>
      </rPr>
      <t>Имя</t>
    </r>
  </si>
  <si>
    <r>
      <rPr>
        <rFont val="Times New Roman"/>
        <color theme="1"/>
        <sz val="7.0"/>
      </rPr>
      <t>Описание</t>
    </r>
  </si>
  <si>
    <r>
      <rPr>
        <rFont val="Times New Roman"/>
        <color theme="1"/>
        <sz val="7.0"/>
      </rPr>
      <t>Год</t>
    </r>
  </si>
  <si>
    <t>Способность к восприятию межкультурного разнообразия общества, в социально-историческом, этическом и философских контекстах, анализу и мировоззренческой оценке происходящих процессов и закономерностей</t>
  </si>
  <si>
    <t>Способность применять нормы государственного языка Российской Федерации в устной и письменной речи в процессе личной и профессиональной коммуникаций</t>
  </si>
  <si>
    <t>Способность применять знания иностранного языка на уровне, достаточном для межличностного общения, учебной и профессиональной деятельности</t>
  </si>
  <si>
    <t>Способность использовать прикладное программное обеспечение при решении профессиональных задач</t>
  </si>
  <si>
    <t>Способность использовать основы правовых знаний в различных сферах деятельности</t>
  </si>
  <si>
    <t>Способность применять методы физической культуры для обеспечения полноценной социальной и профессиональной деятельности</t>
  </si>
  <si>
    <t>Способность создавать и поддерживать безопасные условия жизнедеятельности для сохранения природной среды, обеспечения устойчивого развития общества, владеть основными методами защиты от возможных последствий аварий, катастроф, стихийных бедствий и военных конфликтов</t>
  </si>
  <si>
    <t>Способность и готовность к самоорганизации, продолжению образования, к самообразованию на основе принципов образования в течение всей жизни</t>
  </si>
  <si>
    <t>Способность к индивидуальной и командной работе, социальному взаимодействию, соблюдению этических норм в межличностном профессиональном общении</t>
  </si>
  <si>
    <t>Способность осуществлять поиск, критически анализировать, обобщать и систематизировать информацию, использовать системный подход для решения поставленных задач</t>
  </si>
  <si>
    <t>Способность к постановке целей и задач исследований, выбору оптимальных путей и методов их достижения</t>
  </si>
  <si>
    <t>Способность использовать базовые дефектологические знания в социальной и профессиональной сферах</t>
  </si>
  <si>
    <t>Способность принимать обоснованные экономические решения в различных областях жизнедеятельности</t>
  </si>
  <si>
    <t>Способность формировать нетерпимое отношение к коррупционному поведению</t>
  </si>
  <si>
    <t>Способность релевантно решаемым задачам использовать информационные ресурсы и информационно-коммуникационные технологии для достижения целей, связанных с профессиональной деятельностью, обучением, участием в жизни общества и других сферах жизни</t>
  </si>
  <si>
    <t>Способен собирать, анализировать и систематизировать данные современных научных исследований в области математики и компьютерных наук, требуемых для формирования заключений по соответствующим научным исследованиям</t>
  </si>
  <si>
    <t>Способен с помощью математической модели решать поставленную теоретическую или прикладную задачу, реализовывая алгоритм решения в виде программного модуля</t>
  </si>
  <si>
    <t>Способен анализировать и писать академические и технические тексты на русском и иностранном языках для решения задач научной и профессиональной деятельности, представлять результаты собственных исследований в виде отчетов, публикаций, презентаций</t>
  </si>
  <si>
    <t>Способен проектировать и реализовывать прикладные программные системы в соответствии с анализом задачи и требований к ним</t>
  </si>
  <si>
    <t>Способен строить профессиональную деятельность на базе законодательных, профессиональных и этических требований и обязательств, выполнять технологические требования и нормативы</t>
  </si>
  <si>
    <t>Способен планировать профессиональную деятельность, связанную с созданием и внедрением информационных систем</t>
  </si>
  <si>
    <t xml:space="preserve">Способность собирать наборы данных, в том числе больших данных, выполнять их подготовку для анализа в соответствии с решаемой прикладной задачей </t>
  </si>
  <si>
    <t>Способность выполнять анализ качества данных, выявлять и корректировать отклонения в данных и выполнять визуализацию данных</t>
  </si>
  <si>
    <t>Способность выполнять структурирование данных, выявлять признаки ценные для моделей машинного обучения</t>
  </si>
  <si>
    <t>Способность выбирать модели машинного обучения, решать прикладные задачи машинного обучения, оценивать качество решений и интерпретировать их результаты</t>
  </si>
  <si>
    <t>Способность строить, обучать и оценивать качество моделей глубокого обучения в прикладных задачах</t>
  </si>
  <si>
    <t>Способность выполнять сборку модулей и компонент программной реализации моделей машинного обучения и развертывания реализации моделей машинного обучения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</si>
</sst>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sz val="8.0"/>
      <color theme="1"/>
      <name val="Times New Roman"/>
    </font>
    <font>
      <sz val="10.0"/>
      <color theme="1"/>
      <name val="Calibri"/>
    </font>
    <font>
      <b/>
      <sz val="8.0"/>
      <color theme="1"/>
      <name val="Times New Roman"/>
    </font>
    <font>
      <sz val="8.0"/>
      <color rgb="FF000000"/>
      <name val="Times New Roman"/>
    </font>
    <font/>
    <font>
      <sz val="7.0"/>
      <color rgb="FF000000"/>
      <name val="Times New Roman"/>
    </font>
    <font>
      <b/>
      <sz val="8.0"/>
      <color rgb="FF000000"/>
      <name val="Times New Roman"/>
    </font>
    <font>
      <sz val="7.0"/>
      <color theme="1"/>
      <name val="Times New Roman"/>
    </font>
    <font>
      <sz val="8.0"/>
      <color rgb="FFFF0000"/>
      <name val="Times New Roman"/>
    </font>
    <font>
      <sz val="8.0"/>
      <color theme="1"/>
      <name val="&quot;Times New Roman&quot;"/>
    </font>
    <font>
      <b/>
      <sz val="7.0"/>
      <color rgb="FF000000"/>
      <name val="Times New Roman"/>
    </font>
    <font>
      <b/>
      <sz val="7.0"/>
      <color theme="1"/>
      <name val="Times New Roman"/>
    </font>
    <font>
      <b/>
      <sz val="6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1.0"/>
      <color theme="1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0A1"/>
        <bgColor rgb="FFFFF0A1"/>
      </patternFill>
    </fill>
    <fill>
      <patternFill patternType="solid">
        <fgColor rgb="FFC9FFD9"/>
        <bgColor rgb="FFC9FFD9"/>
      </patternFill>
    </fill>
    <fill>
      <patternFill patternType="solid">
        <fgColor rgb="FFB8EECA"/>
        <bgColor rgb="FFB8EECA"/>
      </patternFill>
    </fill>
    <fill>
      <patternFill patternType="solid">
        <fgColor rgb="FFBFD3E4"/>
        <bgColor rgb="FFBFD3E4"/>
      </patternFill>
    </fill>
    <fill>
      <patternFill patternType="solid">
        <fgColor rgb="FFB0C4D3"/>
        <bgColor rgb="FFB0C4D3"/>
      </patternFill>
    </fill>
    <fill>
      <patternFill patternType="solid">
        <fgColor rgb="FFEEEEEE"/>
        <bgColor rgb="FFEEEEEE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DCE1"/>
        <bgColor rgb="FFFFDCE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EDF92"/>
        <bgColor rgb="FFEEDF92"/>
      </patternFill>
    </fill>
    <fill>
      <patternFill patternType="solid">
        <fgColor rgb="FFFFAE66"/>
        <bgColor rgb="FFFFAE66"/>
      </patternFill>
    </fill>
    <fill>
      <patternFill patternType="solid">
        <fgColor rgb="FFFFFFDE"/>
        <bgColor rgb="FFFFFFDE"/>
      </patternFill>
    </fill>
  </fills>
  <borders count="71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</border>
    <border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49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center" shrinkToFit="0" textRotation="90" vertical="center" wrapText="1"/>
    </xf>
    <xf borderId="4" fillId="2" fontId="4" numFmtId="49" xfId="0" applyAlignment="1" applyBorder="1" applyFont="1" applyNumberFormat="1">
      <alignment horizontal="center" shrinkToFit="0" vertical="top" wrapText="1"/>
    </xf>
    <xf borderId="5" fillId="0" fontId="5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vertical="top"/>
    </xf>
    <xf borderId="7" fillId="2" fontId="4" numFmtId="49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left" vertical="top"/>
    </xf>
    <xf borderId="10" fillId="2" fontId="4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vertical="top"/>
    </xf>
    <xf borderId="14" fillId="0" fontId="5" numFmtId="0" xfId="0" applyAlignment="1" applyBorder="1" applyFont="1">
      <alignment horizontal="left" vertical="top"/>
    </xf>
    <xf borderId="15" fillId="2" fontId="4" numFmtId="49" xfId="0" applyAlignment="1" applyBorder="1" applyFont="1" applyNumberFormat="1">
      <alignment horizontal="center" shrinkToFit="0" vertical="top" wrapText="1"/>
    </xf>
    <xf borderId="16" fillId="0" fontId="5" numFmtId="0" xfId="0" applyAlignment="1" applyBorder="1" applyFont="1">
      <alignment horizontal="left" vertical="top"/>
    </xf>
    <xf borderId="17" fillId="2" fontId="4" numFmtId="49" xfId="0" applyAlignment="1" applyBorder="1" applyFont="1" applyNumberFormat="1">
      <alignment horizontal="center" shrinkToFit="0" textRotation="90" vertical="center" wrapText="1"/>
    </xf>
    <xf borderId="18" fillId="0" fontId="5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vertical="top"/>
    </xf>
    <xf borderId="17" fillId="2" fontId="4" numFmtId="0" xfId="0" applyAlignment="1" applyBorder="1" applyFont="1">
      <alignment horizontal="center" shrinkToFit="0" textRotation="90" vertical="center" wrapText="1"/>
    </xf>
    <xf borderId="21" fillId="2" fontId="4" numFmtId="0" xfId="0" applyAlignment="1" applyBorder="1" applyFont="1">
      <alignment horizontal="center" shrinkToFit="0" vertical="top" wrapText="1"/>
    </xf>
    <xf borderId="22" fillId="0" fontId="5" numFmtId="0" xfId="0" applyAlignment="1" applyBorder="1" applyFont="1">
      <alignment horizontal="left" vertical="top"/>
    </xf>
    <xf borderId="23" fillId="0" fontId="5" numFmtId="0" xfId="0" applyAlignment="1" applyBorder="1" applyFont="1">
      <alignment horizontal="left" vertical="top"/>
    </xf>
    <xf borderId="24" fillId="0" fontId="5" numFmtId="0" xfId="0" applyAlignment="1" applyBorder="1" applyFont="1">
      <alignment horizontal="left" vertical="top"/>
    </xf>
    <xf borderId="25" fillId="0" fontId="5" numFmtId="0" xfId="0" applyAlignment="1" applyBorder="1" applyFont="1">
      <alignment horizontal="left" vertical="top"/>
    </xf>
    <xf borderId="26" fillId="0" fontId="5" numFmtId="0" xfId="0" applyAlignment="1" applyBorder="1" applyFont="1">
      <alignment horizontal="left" vertical="top"/>
    </xf>
    <xf borderId="27" fillId="0" fontId="5" numFmtId="0" xfId="0" applyAlignment="1" applyBorder="1" applyFont="1">
      <alignment horizontal="left" vertical="top"/>
    </xf>
    <xf borderId="21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shrinkToFit="0" textRotation="90" vertical="center" wrapText="1"/>
    </xf>
    <xf borderId="29" fillId="0" fontId="5" numFmtId="0" xfId="0" applyAlignment="1" applyBorder="1" applyFont="1">
      <alignment horizontal="left" vertical="top"/>
    </xf>
    <xf borderId="30" fillId="2" fontId="4" numFmtId="0" xfId="0" applyAlignment="1" applyBorder="1" applyFont="1">
      <alignment horizontal="center" shrinkToFit="0" textRotation="90" vertical="center" wrapText="1"/>
    </xf>
    <xf borderId="30" fillId="2" fontId="4" numFmtId="0" xfId="0" applyAlignment="1" applyBorder="1" applyFont="1">
      <alignment horizontal="center" shrinkToFit="0" vertical="top" wrapText="1"/>
    </xf>
    <xf borderId="17" fillId="2" fontId="4" numFmtId="0" xfId="0" applyAlignment="1" applyBorder="1" applyFont="1">
      <alignment horizontal="center" shrinkToFit="0" vertical="top" wrapText="1"/>
    </xf>
    <xf borderId="31" fillId="2" fontId="4" numFmtId="0" xfId="0" applyAlignment="1" applyBorder="1" applyFont="1">
      <alignment horizontal="center" shrinkToFit="0" textRotation="90" vertical="center" wrapText="1"/>
    </xf>
    <xf borderId="32" fillId="0" fontId="5" numFmtId="0" xfId="0" applyAlignment="1" applyBorder="1" applyFont="1">
      <alignment horizontal="left" vertical="top"/>
    </xf>
    <xf borderId="33" fillId="0" fontId="5" numFmtId="0" xfId="0" applyAlignment="1" applyBorder="1" applyFont="1">
      <alignment horizontal="left" vertical="top"/>
    </xf>
    <xf borderId="34" fillId="0" fontId="5" numFmtId="0" xfId="0" applyAlignment="1" applyBorder="1" applyFont="1">
      <alignment horizontal="left" vertical="top"/>
    </xf>
    <xf borderId="35" fillId="0" fontId="5" numFmtId="0" xfId="0" applyAlignment="1" applyBorder="1" applyFont="1">
      <alignment horizontal="left" vertical="top"/>
    </xf>
    <xf borderId="36" fillId="0" fontId="5" numFmtId="0" xfId="0" applyAlignment="1" applyBorder="1" applyFont="1">
      <alignment horizontal="left" vertical="top"/>
    </xf>
    <xf borderId="37" fillId="0" fontId="5" numFmtId="0" xfId="0" applyAlignment="1" applyBorder="1" applyFont="1">
      <alignment horizontal="left" vertical="top"/>
    </xf>
    <xf borderId="38" fillId="2" fontId="4" numFmtId="0" xfId="0" applyAlignment="1" applyBorder="1" applyFont="1">
      <alignment horizontal="center" shrinkToFit="0" textRotation="90" vertical="center" wrapText="1"/>
    </xf>
    <xf borderId="39" fillId="2" fontId="4" numFmtId="0" xfId="0" applyAlignment="1" applyBorder="1" applyFont="1">
      <alignment horizontal="center" shrinkToFit="0" textRotation="90" vertical="center" wrapText="1"/>
    </xf>
    <xf borderId="40" fillId="2" fontId="4" numFmtId="0" xfId="0" applyAlignment="1" applyBorder="1" applyFont="1">
      <alignment horizontal="center" shrinkToFit="0" textRotation="90" vertical="center" wrapText="1"/>
    </xf>
    <xf borderId="41" fillId="2" fontId="4" numFmtId="0" xfId="0" applyAlignment="1" applyBorder="1" applyFont="1">
      <alignment horizontal="center" shrinkToFit="0" textRotation="90" vertical="center" wrapText="1"/>
    </xf>
    <xf borderId="42" fillId="3" fontId="3" numFmtId="0" xfId="0" applyAlignment="1" applyBorder="1" applyFill="1" applyFont="1">
      <alignment horizontal="left" shrinkToFit="0" vertical="top" wrapText="1"/>
    </xf>
    <xf borderId="43" fillId="3" fontId="3" numFmtId="0" xfId="0" applyAlignment="1" applyBorder="1" applyFont="1">
      <alignment horizontal="left" shrinkToFit="0" vertical="top" wrapText="1"/>
    </xf>
    <xf borderId="43" fillId="3" fontId="4" numFmtId="0" xfId="0" applyAlignment="1" applyBorder="1" applyFont="1">
      <alignment horizontal="left" shrinkToFit="0" vertical="center" wrapText="1"/>
    </xf>
    <xf borderId="43" fillId="3" fontId="6" numFmtId="0" xfId="0" applyAlignment="1" applyBorder="1" applyFont="1">
      <alignment horizontal="center" shrinkToFit="0" vertical="center" wrapText="1"/>
    </xf>
    <xf borderId="43" fillId="3" fontId="7" numFmtId="49" xfId="0" applyAlignment="1" applyBorder="1" applyFont="1" applyNumberFormat="1">
      <alignment horizontal="center" shrinkToFit="1" vertical="center" wrapText="0"/>
    </xf>
    <xf borderId="44" fillId="3" fontId="7" numFmtId="49" xfId="0" applyAlignment="1" applyBorder="1" applyFont="1" applyNumberFormat="1">
      <alignment horizontal="center" shrinkToFit="1" vertical="center" wrapText="0"/>
    </xf>
    <xf borderId="42" fillId="3" fontId="7" numFmtId="1" xfId="0" applyAlignment="1" applyBorder="1" applyFont="1" applyNumberFormat="1">
      <alignment horizontal="center" shrinkToFit="1" vertical="center" wrapText="0"/>
    </xf>
    <xf borderId="43" fillId="3" fontId="7" numFmtId="1" xfId="0" applyAlignment="1" applyBorder="1" applyFont="1" applyNumberFormat="1">
      <alignment horizontal="center" shrinkToFit="1" vertical="center" wrapText="0"/>
    </xf>
    <xf borderId="45" fillId="3" fontId="7" numFmtId="1" xfId="0" applyAlignment="1" applyBorder="1" applyFont="1" applyNumberFormat="1">
      <alignment horizontal="center" shrinkToFit="1" vertical="center" wrapText="0"/>
    </xf>
    <xf borderId="46" fillId="3" fontId="7" numFmtId="1" xfId="0" applyAlignment="1" applyBorder="1" applyFont="1" applyNumberFormat="1">
      <alignment horizontal="center" shrinkToFit="1" vertical="center" wrapText="0"/>
    </xf>
    <xf borderId="44" fillId="3" fontId="7" numFmtId="1" xfId="0" applyAlignment="1" applyBorder="1" applyFont="1" applyNumberFormat="1">
      <alignment horizontal="center" shrinkToFit="1" vertical="center" wrapText="0"/>
    </xf>
    <xf borderId="47" fillId="3" fontId="7" numFmtId="1" xfId="0" applyAlignment="1" applyBorder="1" applyFont="1" applyNumberFormat="1">
      <alignment horizontal="center" shrinkToFit="1" vertical="center" wrapText="0"/>
    </xf>
    <xf borderId="48" fillId="3" fontId="7" numFmtId="1" xfId="0" applyAlignment="1" applyBorder="1" applyFont="1" applyNumberFormat="1">
      <alignment horizontal="center" shrinkToFit="1" vertical="center" wrapText="0"/>
    </xf>
    <xf borderId="49" fillId="3" fontId="7" numFmtId="1" xfId="0" applyAlignment="1" applyBorder="1" applyFont="1" applyNumberFormat="1">
      <alignment horizontal="center" shrinkToFit="1" vertical="center" wrapText="0"/>
    </xf>
    <xf borderId="50" fillId="4" fontId="3" numFmtId="0" xfId="0" applyAlignment="1" applyBorder="1" applyFill="1" applyFont="1">
      <alignment horizontal="left" shrinkToFit="0" vertical="top" wrapText="1"/>
    </xf>
    <xf borderId="51" fillId="4" fontId="3" numFmtId="0" xfId="0" applyAlignment="1" applyBorder="1" applyFont="1">
      <alignment horizontal="left" shrinkToFit="0" vertical="top" wrapText="1"/>
    </xf>
    <xf borderId="51" fillId="4" fontId="4" numFmtId="0" xfId="0" applyAlignment="1" applyBorder="1" applyFont="1">
      <alignment horizontal="left" shrinkToFit="0" vertical="center" wrapText="1"/>
    </xf>
    <xf borderId="51" fillId="4" fontId="6" numFmtId="0" xfId="0" applyAlignment="1" applyBorder="1" applyFont="1">
      <alignment horizontal="center" shrinkToFit="0" vertical="center" wrapText="1"/>
    </xf>
    <xf borderId="51" fillId="4" fontId="7" numFmtId="49" xfId="0" applyAlignment="1" applyBorder="1" applyFont="1" applyNumberFormat="1">
      <alignment horizontal="center" shrinkToFit="1" vertical="center" wrapText="0"/>
    </xf>
    <xf borderId="52" fillId="4" fontId="7" numFmtId="49" xfId="0" applyAlignment="1" applyBorder="1" applyFont="1" applyNumberFormat="1">
      <alignment horizontal="center" shrinkToFit="1" vertical="center" wrapText="0"/>
    </xf>
    <xf borderId="50" fillId="5" fontId="7" numFmtId="1" xfId="0" applyAlignment="1" applyBorder="1" applyFill="1" applyFont="1" applyNumberFormat="1">
      <alignment horizontal="center" shrinkToFit="1" vertical="center" wrapText="0"/>
    </xf>
    <xf borderId="51" fillId="5" fontId="7" numFmtId="1" xfId="0" applyAlignment="1" applyBorder="1" applyFont="1" applyNumberFormat="1">
      <alignment horizontal="center" shrinkToFit="1" vertical="center" wrapText="0"/>
    </xf>
    <xf borderId="53" fillId="5" fontId="7" numFmtId="1" xfId="0" applyAlignment="1" applyBorder="1" applyFont="1" applyNumberFormat="1">
      <alignment horizontal="center" shrinkToFit="1" vertical="center" wrapText="0"/>
    </xf>
    <xf borderId="54" fillId="5" fontId="7" numFmtId="1" xfId="0" applyAlignment="1" applyBorder="1" applyFont="1" applyNumberFormat="1">
      <alignment horizontal="center" shrinkToFit="1" vertical="center" wrapText="0"/>
    </xf>
    <xf borderId="52" fillId="5" fontId="7" numFmtId="1" xfId="0" applyAlignment="1" applyBorder="1" applyFont="1" applyNumberFormat="1">
      <alignment horizontal="center" shrinkToFit="1" vertical="center" wrapText="0"/>
    </xf>
    <xf borderId="50" fillId="6" fontId="3" numFmtId="0" xfId="0" applyAlignment="1" applyBorder="1" applyFill="1" applyFont="1">
      <alignment horizontal="left" shrinkToFit="0" vertical="top" wrapText="1"/>
    </xf>
    <xf borderId="51" fillId="6" fontId="3" numFmtId="0" xfId="0" applyAlignment="1" applyBorder="1" applyFont="1">
      <alignment horizontal="left" shrinkToFit="0" vertical="top" wrapText="1"/>
    </xf>
    <xf borderId="51" fillId="6" fontId="4" numFmtId="0" xfId="0" applyAlignment="1" applyBorder="1" applyFont="1">
      <alignment horizontal="left" shrinkToFit="0" vertical="center" wrapText="1"/>
    </xf>
    <xf borderId="51" fillId="6" fontId="6" numFmtId="0" xfId="0" applyAlignment="1" applyBorder="1" applyFont="1">
      <alignment horizontal="center" shrinkToFit="0" vertical="center" wrapText="1"/>
    </xf>
    <xf borderId="51" fillId="6" fontId="7" numFmtId="49" xfId="0" applyAlignment="1" applyBorder="1" applyFont="1" applyNumberFormat="1">
      <alignment horizontal="center" shrinkToFit="1" vertical="center" wrapText="0"/>
    </xf>
    <xf borderId="51" fillId="6" fontId="4" numFmtId="49" xfId="0" applyAlignment="1" applyBorder="1" applyFont="1" applyNumberFormat="1">
      <alignment horizontal="center" shrinkToFit="0" vertical="center" wrapText="1"/>
    </xf>
    <xf borderId="52" fillId="6" fontId="7" numFmtId="49" xfId="0" applyAlignment="1" applyBorder="1" applyFont="1" applyNumberFormat="1">
      <alignment horizontal="center" shrinkToFit="1" vertical="center" wrapText="0"/>
    </xf>
    <xf borderId="50" fillId="7" fontId="7" numFmtId="0" xfId="0" applyAlignment="1" applyBorder="1" applyFill="1" applyFont="1">
      <alignment horizontal="center" shrinkToFit="1" vertical="center" wrapText="0"/>
    </xf>
    <xf borderId="51" fillId="7" fontId="7" numFmtId="1" xfId="0" applyAlignment="1" applyBorder="1" applyFont="1" applyNumberFormat="1">
      <alignment horizontal="center" shrinkToFit="1" vertical="center" wrapText="0"/>
    </xf>
    <xf borderId="53" fillId="7" fontId="7" numFmtId="1" xfId="0" applyAlignment="1" applyBorder="1" applyFont="1" applyNumberFormat="1">
      <alignment horizontal="center" shrinkToFit="1" vertical="center" wrapText="0"/>
    </xf>
    <xf borderId="54" fillId="7" fontId="7" numFmtId="0" xfId="0" applyAlignment="1" applyBorder="1" applyFont="1">
      <alignment horizontal="center" shrinkToFit="1" vertical="center" wrapText="0"/>
    </xf>
    <xf borderId="51" fillId="7" fontId="7" numFmtId="0" xfId="0" applyAlignment="1" applyBorder="1" applyFont="1">
      <alignment horizontal="center" shrinkToFit="1" vertical="center" wrapText="0"/>
    </xf>
    <xf borderId="52" fillId="7" fontId="7" numFmtId="1" xfId="0" applyAlignment="1" applyBorder="1" applyFont="1" applyNumberFormat="1">
      <alignment horizontal="center" shrinkToFit="1" vertical="center" wrapText="0"/>
    </xf>
    <xf borderId="50" fillId="0" fontId="1" numFmtId="0" xfId="0" applyAlignment="1" applyBorder="1" applyFont="1">
      <alignment horizontal="left" shrinkToFit="0" vertical="top" wrapText="1"/>
    </xf>
    <xf borderId="51" fillId="0" fontId="1" numFmtId="0" xfId="0" applyAlignment="1" applyBorder="1" applyFont="1">
      <alignment horizontal="left" shrinkToFit="0" vertical="top" wrapText="1"/>
    </xf>
    <xf borderId="51" fillId="0" fontId="1" numFmtId="0" xfId="0" applyAlignment="1" applyBorder="1" applyFont="1">
      <alignment horizontal="left" shrinkToFit="0" vertical="center" wrapText="1"/>
    </xf>
    <xf borderId="51" fillId="0" fontId="8" numFmtId="0" xfId="0" applyAlignment="1" applyBorder="1" applyFont="1">
      <alignment horizontal="center" shrinkToFit="0" vertical="center" wrapText="1"/>
    </xf>
    <xf borderId="51" fillId="0" fontId="4" numFmtId="49" xfId="0" applyAlignment="1" applyBorder="1" applyFont="1" applyNumberFormat="1">
      <alignment horizontal="center" shrinkToFit="0" vertical="center" wrapText="1"/>
    </xf>
    <xf borderId="51" fillId="0" fontId="4" numFmtId="49" xfId="0" applyAlignment="1" applyBorder="1" applyFont="1" applyNumberFormat="1">
      <alignment horizontal="center" shrinkToFit="1" vertical="center" wrapText="0"/>
    </xf>
    <xf borderId="21" fillId="0" fontId="4" numFmtId="49" xfId="0" applyAlignment="1" applyBorder="1" applyFont="1" applyNumberFormat="1">
      <alignment horizontal="center" shrinkToFit="0" vertical="center" wrapText="1"/>
    </xf>
    <xf borderId="50" fillId="8" fontId="4" numFmtId="0" xfId="0" applyAlignment="1" applyBorder="1" applyFill="1" applyFont="1">
      <alignment horizontal="center" shrinkToFit="1" vertical="center" wrapText="0"/>
    </xf>
    <xf borderId="51" fillId="8" fontId="4" numFmtId="1" xfId="0" applyAlignment="1" applyBorder="1" applyFont="1" applyNumberFormat="1">
      <alignment horizontal="center" shrinkToFit="1" vertical="center" wrapText="0"/>
    </xf>
    <xf borderId="51" fillId="0" fontId="4" numFmtId="1" xfId="0" applyAlignment="1" applyBorder="1" applyFont="1" applyNumberFormat="1">
      <alignment horizontal="center" shrinkToFit="0" vertical="center" wrapText="1"/>
    </xf>
    <xf borderId="53" fillId="0" fontId="4" numFmtId="1" xfId="0" applyAlignment="1" applyBorder="1" applyFont="1" applyNumberFormat="1">
      <alignment horizontal="center" shrinkToFit="0" vertical="center" wrapText="1"/>
    </xf>
    <xf borderId="54" fillId="9" fontId="4" numFmtId="0" xfId="0" applyAlignment="1" applyBorder="1" applyFill="1" applyFont="1">
      <alignment horizontal="center" shrinkToFit="1" vertical="center" wrapText="0"/>
    </xf>
    <xf borderId="51" fillId="8" fontId="4" numFmtId="0" xfId="0" applyAlignment="1" applyBorder="1" applyFont="1">
      <alignment horizontal="center" shrinkToFit="1" vertical="center" wrapText="0"/>
    </xf>
    <xf borderId="51" fillId="0" fontId="4" numFmtId="0" xfId="0" applyAlignment="1" applyBorder="1" applyFont="1">
      <alignment horizontal="center" shrinkToFit="0" vertical="center" wrapText="1"/>
    </xf>
    <xf borderId="21" fillId="0" fontId="4" numFmtId="1" xfId="0" applyAlignment="1" applyBorder="1" applyFont="1" applyNumberFormat="1">
      <alignment horizontal="center" shrinkToFit="0" vertical="center" wrapText="1"/>
    </xf>
    <xf borderId="50" fillId="9" fontId="4" numFmtId="0" xfId="0" applyAlignment="1" applyBorder="1" applyFont="1">
      <alignment horizontal="center" shrinkToFit="1" vertical="center" wrapText="0"/>
    </xf>
    <xf borderId="51" fillId="0" fontId="1" numFmtId="0" xfId="0" applyAlignment="1" applyBorder="1" applyFont="1">
      <alignment horizontal="left" readingOrder="0" shrinkToFit="0" vertical="top" wrapText="1"/>
    </xf>
    <xf borderId="51" fillId="0" fontId="4" numFmtId="49" xfId="0" applyAlignment="1" applyBorder="1" applyFont="1" applyNumberFormat="1">
      <alignment horizontal="center" readingOrder="0" shrinkToFit="1" vertical="center" wrapText="0"/>
    </xf>
    <xf borderId="51" fillId="0" fontId="4" numFmtId="49" xfId="0" applyAlignment="1" applyBorder="1" applyFont="1" applyNumberFormat="1">
      <alignment horizontal="center" readingOrder="0" shrinkToFit="0" vertical="center" wrapText="1"/>
    </xf>
    <xf borderId="21" fillId="0" fontId="4" numFmtId="49" xfId="0" applyAlignment="1" applyBorder="1" applyFont="1" applyNumberFormat="1">
      <alignment horizontal="center" shrinkToFit="1" vertical="center" wrapText="0"/>
    </xf>
    <xf borderId="51" fillId="8" fontId="4" numFmtId="0" xfId="0" applyAlignment="1" applyBorder="1" applyFont="1">
      <alignment horizontal="center" readingOrder="0" shrinkToFit="1" vertical="center" wrapText="0"/>
    </xf>
    <xf borderId="51" fillId="0" fontId="4" numFmtId="0" xfId="0" applyAlignment="1" applyBorder="1" applyFont="1">
      <alignment horizontal="center" readingOrder="0" shrinkToFit="0" vertical="center" wrapText="1"/>
    </xf>
    <xf borderId="21" fillId="0" fontId="4" numFmtId="1" xfId="0" applyAlignment="1" applyBorder="1" applyFont="1" applyNumberFormat="1">
      <alignment horizontal="center" readingOrder="0" shrinkToFit="0" vertical="center" wrapText="1"/>
    </xf>
    <xf borderId="51" fillId="0" fontId="1" numFmtId="49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left" readingOrder="0" shrinkToFit="0" vertical="center" wrapText="1"/>
    </xf>
    <xf borderId="52" fillId="6" fontId="4" numFmtId="49" xfId="0" applyAlignment="1" applyBorder="1" applyFont="1" applyNumberFormat="1">
      <alignment horizontal="center" shrinkToFit="0" vertical="center" wrapText="1"/>
    </xf>
    <xf borderId="50" fillId="7" fontId="7" numFmtId="1" xfId="0" applyAlignment="1" applyBorder="1" applyFont="1" applyNumberFormat="1">
      <alignment horizontal="center" shrinkToFit="1" vertical="center" wrapText="0"/>
    </xf>
    <xf borderId="54" fillId="7" fontId="7" numFmtId="1" xfId="0" applyAlignment="1" applyBorder="1" applyFont="1" applyNumberFormat="1">
      <alignment horizontal="center" shrinkToFit="1" vertical="center" wrapText="0"/>
    </xf>
    <xf borderId="53" fillId="0" fontId="4" numFmtId="0" xfId="0" applyAlignment="1" applyBorder="1" applyFont="1">
      <alignment horizontal="center" shrinkToFit="0" vertical="center" wrapText="1"/>
    </xf>
    <xf borderId="54" fillId="8" fontId="4" numFmtId="1" xfId="0" applyAlignment="1" applyBorder="1" applyFont="1" applyNumberFormat="1">
      <alignment horizontal="center" shrinkToFit="1" vertical="center" wrapText="0"/>
    </xf>
    <xf borderId="51" fillId="0" fontId="9" numFmtId="0" xfId="0" applyAlignment="1" applyBorder="1" applyFont="1">
      <alignment horizontal="left" readingOrder="0" shrinkToFit="0" vertical="top" wrapText="1"/>
    </xf>
    <xf borderId="54" fillId="9" fontId="4" numFmtId="1" xfId="0" applyAlignment="1" applyBorder="1" applyFont="1" applyNumberFormat="1">
      <alignment horizontal="center" shrinkToFit="1" vertical="center" wrapText="0"/>
    </xf>
    <xf borderId="50" fillId="10" fontId="1" numFmtId="0" xfId="0" applyAlignment="1" applyBorder="1" applyFill="1" applyFont="1">
      <alignment horizontal="left" shrinkToFit="0" vertical="top" wrapText="1"/>
    </xf>
    <xf borderId="51" fillId="10" fontId="4" numFmtId="1" xfId="0" applyAlignment="1" applyBorder="1" applyFont="1" applyNumberFormat="1">
      <alignment horizontal="center" shrinkToFit="0" vertical="center" wrapText="1"/>
    </xf>
    <xf borderId="52" fillId="10" fontId="4" numFmtId="1" xfId="0" applyAlignment="1" applyBorder="1" applyFont="1" applyNumberFormat="1">
      <alignment horizontal="center" shrinkToFit="0" vertical="center" wrapText="1"/>
    </xf>
    <xf borderId="53" fillId="10" fontId="4" numFmtId="1" xfId="0" applyAlignment="1" applyBorder="1" applyFont="1" applyNumberFormat="1">
      <alignment horizontal="center" shrinkToFit="0" vertical="center" wrapText="1"/>
    </xf>
    <xf borderId="50" fillId="11" fontId="3" numFmtId="0" xfId="0" applyAlignment="1" applyBorder="1" applyFill="1" applyFont="1">
      <alignment horizontal="left" shrinkToFit="0" vertical="top" wrapText="1"/>
    </xf>
    <xf borderId="51" fillId="11" fontId="3" numFmtId="0" xfId="0" applyAlignment="1" applyBorder="1" applyFont="1">
      <alignment horizontal="left" shrinkToFit="0" vertical="top" wrapText="1"/>
    </xf>
    <xf borderId="51" fillId="11" fontId="4" numFmtId="0" xfId="0" applyAlignment="1" applyBorder="1" applyFont="1">
      <alignment horizontal="left" shrinkToFit="0" vertical="center" wrapText="1"/>
    </xf>
    <xf borderId="51" fillId="11" fontId="6" numFmtId="0" xfId="0" applyAlignment="1" applyBorder="1" applyFont="1">
      <alignment horizontal="center" shrinkToFit="0" vertical="center" wrapText="1"/>
    </xf>
    <xf borderId="51" fillId="11" fontId="7" numFmtId="49" xfId="0" applyAlignment="1" applyBorder="1" applyFont="1" applyNumberFormat="1">
      <alignment horizontal="center" shrinkToFit="1" vertical="center" wrapText="0"/>
    </xf>
    <xf borderId="52" fillId="11" fontId="7" numFmtId="49" xfId="0" applyAlignment="1" applyBorder="1" applyFont="1" applyNumberFormat="1">
      <alignment horizontal="center" shrinkToFit="1" vertical="center" wrapText="0"/>
    </xf>
    <xf borderId="50" fillId="11" fontId="7" numFmtId="1" xfId="0" applyAlignment="1" applyBorder="1" applyFont="1" applyNumberFormat="1">
      <alignment horizontal="center" shrinkToFit="1" vertical="center" wrapText="0"/>
    </xf>
    <xf borderId="51" fillId="11" fontId="7" numFmtId="1" xfId="0" applyAlignment="1" applyBorder="1" applyFont="1" applyNumberFormat="1">
      <alignment horizontal="center" shrinkToFit="1" vertical="center" wrapText="0"/>
    </xf>
    <xf borderId="53" fillId="11" fontId="7" numFmtId="1" xfId="0" applyAlignment="1" applyBorder="1" applyFont="1" applyNumberFormat="1">
      <alignment horizontal="center" shrinkToFit="1" vertical="center" wrapText="0"/>
    </xf>
    <xf borderId="55" fillId="11" fontId="7" numFmtId="1" xfId="0" applyAlignment="1" applyBorder="1" applyFont="1" applyNumberFormat="1">
      <alignment horizontal="center" shrinkToFit="1" vertical="center" wrapText="0"/>
    </xf>
    <xf borderId="52" fillId="11" fontId="7" numFmtId="1" xfId="0" applyAlignment="1" applyBorder="1" applyFont="1" applyNumberFormat="1">
      <alignment horizontal="center" shrinkToFit="1" vertical="center" wrapText="0"/>
    </xf>
    <xf borderId="56" fillId="11" fontId="7" numFmtId="1" xfId="0" applyAlignment="1" applyBorder="1" applyFont="1" applyNumberFormat="1">
      <alignment horizontal="center" shrinkToFit="1" vertical="center" wrapText="0"/>
    </xf>
    <xf borderId="54" fillId="11" fontId="7" numFmtId="1" xfId="0" applyAlignment="1" applyBorder="1" applyFont="1" applyNumberFormat="1">
      <alignment horizontal="center" shrinkToFit="1" vertical="center" wrapText="0"/>
    </xf>
    <xf borderId="53" fillId="7" fontId="7" numFmtId="0" xfId="0" applyAlignment="1" applyBorder="1" applyFont="1">
      <alignment horizontal="center" shrinkToFit="1" vertical="center" wrapText="0"/>
    </xf>
    <xf borderId="51" fillId="0" fontId="1" numFmtId="0" xfId="0" applyAlignment="1" applyBorder="1" applyFont="1">
      <alignment horizontal="left" vertical="bottom"/>
    </xf>
    <xf borderId="50" fillId="9" fontId="4" numFmtId="1" xfId="0" applyAlignment="1" applyBorder="1" applyFont="1" applyNumberFormat="1">
      <alignment horizontal="center" shrinkToFit="1" vertical="center" wrapText="0"/>
    </xf>
    <xf borderId="57" fillId="9" fontId="4" numFmtId="1" xfId="0" applyAlignment="1" applyBorder="1" applyFont="1" applyNumberFormat="1">
      <alignment horizontal="center" shrinkToFit="1" vertical="center" wrapText="0"/>
    </xf>
    <xf borderId="40" fillId="8" fontId="4" numFmtId="1" xfId="0" applyAlignment="1" applyBorder="1" applyFont="1" applyNumberFormat="1">
      <alignment horizontal="center" shrinkToFit="1" vertical="center" wrapText="0"/>
    </xf>
    <xf borderId="17" fillId="0" fontId="4" numFmtId="1" xfId="0" applyAlignment="1" applyBorder="1" applyFont="1" applyNumberFormat="1">
      <alignment horizontal="center" shrinkToFit="0" vertical="center" wrapText="1"/>
    </xf>
    <xf borderId="31" fillId="0" fontId="4" numFmtId="1" xfId="0" applyAlignment="1" applyBorder="1" applyFont="1" applyNumberFormat="1">
      <alignment horizontal="center" shrinkToFit="0" vertical="center" wrapText="1"/>
    </xf>
    <xf borderId="51" fillId="0" fontId="1" numFmtId="0" xfId="0" applyAlignment="1" applyBorder="1" applyFont="1">
      <alignment horizontal="left" readingOrder="0" vertical="bottom"/>
    </xf>
    <xf borderId="51" fillId="8" fontId="10" numFmtId="1" xfId="0" applyAlignment="1" applyBorder="1" applyFont="1" applyNumberFormat="1">
      <alignment horizontal="center" vertical="top"/>
    </xf>
    <xf borderId="29" fillId="0" fontId="10" numFmtId="1" xfId="0" applyAlignment="1" applyBorder="1" applyFont="1" applyNumberFormat="1">
      <alignment horizontal="center" shrinkToFit="0" vertical="top" wrapText="1"/>
    </xf>
    <xf borderId="23" fillId="0" fontId="10" numFmtId="1" xfId="0" applyAlignment="1" applyBorder="1" applyFont="1" applyNumberFormat="1">
      <alignment horizontal="center" shrinkToFit="0" vertical="top" wrapText="1"/>
    </xf>
    <xf borderId="51" fillId="6" fontId="7" numFmtId="0" xfId="0" applyAlignment="1" applyBorder="1" applyFont="1">
      <alignment horizontal="left" shrinkToFit="0" vertical="center" wrapText="1"/>
    </xf>
    <xf borderId="51" fillId="6" fontId="11" numFmtId="0" xfId="0" applyAlignment="1" applyBorder="1" applyFont="1">
      <alignment horizontal="left" shrinkToFit="0" vertical="center" wrapText="1"/>
    </xf>
    <xf borderId="51" fillId="6" fontId="7" numFmtId="49" xfId="0" applyAlignment="1" applyBorder="1" applyFont="1" applyNumberFormat="1">
      <alignment horizontal="center" shrinkToFit="0" vertical="center" wrapText="1"/>
    </xf>
    <xf borderId="52" fillId="6" fontId="7" numFmtId="49" xfId="0" applyAlignment="1" applyBorder="1" applyFont="1" applyNumberFormat="1">
      <alignment horizontal="center" shrinkToFit="0" vertical="center" wrapText="1"/>
    </xf>
    <xf borderId="51" fillId="0" fontId="1" numFmtId="0" xfId="0" applyAlignment="1" applyBorder="1" applyFont="1">
      <alignment horizontal="left" shrinkToFit="0" vertical="bottom" wrapText="1"/>
    </xf>
    <xf borderId="51" fillId="10" fontId="7" numFmtId="1" xfId="0" applyAlignment="1" applyBorder="1" applyFont="1" applyNumberFormat="1">
      <alignment horizontal="center" shrinkToFit="0" vertical="center" wrapText="1"/>
    </xf>
    <xf borderId="51" fillId="10" fontId="7" numFmtId="1" xfId="0" applyAlignment="1" applyBorder="1" applyFont="1" applyNumberFormat="1">
      <alignment horizontal="center" shrinkToFit="1" vertical="center" wrapText="0"/>
    </xf>
    <xf borderId="52" fillId="10" fontId="7" numFmtId="1" xfId="0" applyAlignment="1" applyBorder="1" applyFont="1" applyNumberFormat="1">
      <alignment horizontal="center" shrinkToFit="0" vertical="center" wrapText="1"/>
    </xf>
    <xf borderId="53" fillId="10" fontId="7" numFmtId="1" xfId="0" applyAlignment="1" applyBorder="1" applyFont="1" applyNumberFormat="1">
      <alignment horizontal="center" shrinkToFit="0" vertical="center" wrapText="1"/>
    </xf>
    <xf borderId="50" fillId="9" fontId="4" numFmtId="1" xfId="0" applyAlignment="1" applyBorder="1" applyFont="1" applyNumberFormat="1">
      <alignment horizontal="center" shrinkToFit="0" vertical="center" wrapText="1"/>
    </xf>
    <xf borderId="51" fillId="12" fontId="1" numFmtId="0" xfId="0" applyAlignment="1" applyBorder="1" applyFill="1" applyFont="1">
      <alignment horizontal="left" shrinkToFit="0" vertical="bottom" wrapText="1"/>
    </xf>
    <xf borderId="50" fillId="13" fontId="3" numFmtId="0" xfId="0" applyAlignment="1" applyBorder="1" applyFill="1" applyFont="1">
      <alignment horizontal="left" shrinkToFit="0" vertical="top" wrapText="1"/>
    </xf>
    <xf borderId="51" fillId="13" fontId="3" numFmtId="0" xfId="0" applyAlignment="1" applyBorder="1" applyFont="1">
      <alignment horizontal="left" shrinkToFit="0" vertical="top" wrapText="1"/>
    </xf>
    <xf borderId="51" fillId="13" fontId="7" numFmtId="0" xfId="0" applyAlignment="1" applyBorder="1" applyFont="1">
      <alignment horizontal="left" shrinkToFit="0" vertical="center" wrapText="1"/>
    </xf>
    <xf borderId="51" fillId="13" fontId="11" numFmtId="0" xfId="0" applyAlignment="1" applyBorder="1" applyFont="1">
      <alignment horizontal="left" shrinkToFit="0" vertical="center" wrapText="1"/>
    </xf>
    <xf borderId="51" fillId="13" fontId="7" numFmtId="49" xfId="0" applyAlignment="1" applyBorder="1" applyFont="1" applyNumberFormat="1">
      <alignment horizontal="center" shrinkToFit="0" vertical="center" wrapText="1"/>
    </xf>
    <xf borderId="52" fillId="13" fontId="7" numFmtId="49" xfId="0" applyAlignment="1" applyBorder="1" applyFont="1" applyNumberFormat="1">
      <alignment horizontal="center" shrinkToFit="0" vertical="center" wrapText="1"/>
    </xf>
    <xf borderId="50" fillId="13" fontId="7" numFmtId="1" xfId="0" applyAlignment="1" applyBorder="1" applyFont="1" applyNumberFormat="1">
      <alignment horizontal="center" shrinkToFit="0" vertical="center" wrapText="1"/>
    </xf>
    <xf borderId="51" fillId="13" fontId="7" numFmtId="1" xfId="0" applyAlignment="1" applyBorder="1" applyFont="1" applyNumberFormat="1">
      <alignment horizontal="center" shrinkToFit="0" vertical="center" wrapText="1"/>
    </xf>
    <xf borderId="53" fillId="13" fontId="7" numFmtId="1" xfId="0" applyAlignment="1" applyBorder="1" applyFont="1" applyNumberFormat="1">
      <alignment horizontal="center" shrinkToFit="0" vertical="center" wrapText="1"/>
    </xf>
    <xf borderId="54" fillId="13" fontId="7" numFmtId="1" xfId="0" applyAlignment="1" applyBorder="1" applyFont="1" applyNumberFormat="1">
      <alignment horizontal="center" shrinkToFit="0" vertical="center" wrapText="1"/>
    </xf>
    <xf borderId="52" fillId="13" fontId="7" numFmtId="1" xfId="0" applyAlignment="1" applyBorder="1" applyFont="1" applyNumberFormat="1">
      <alignment horizontal="center" shrinkToFit="0" vertical="center" wrapText="1"/>
    </xf>
    <xf borderId="50" fillId="13" fontId="7" numFmtId="0" xfId="0" applyAlignment="1" applyBorder="1" applyFont="1">
      <alignment horizontal="center" shrinkToFit="0" vertical="center" wrapText="1"/>
    </xf>
    <xf borderId="51" fillId="13" fontId="3" numFmtId="0" xfId="0" applyAlignment="1" applyBorder="1" applyFont="1">
      <alignment horizontal="left" shrinkToFit="0" vertical="center" wrapText="1"/>
    </xf>
    <xf borderId="51" fillId="13" fontId="3" numFmtId="49" xfId="0" applyAlignment="1" applyBorder="1" applyFont="1" applyNumberFormat="1">
      <alignment horizontal="center" shrinkToFit="0" vertical="center" wrapText="1"/>
    </xf>
    <xf borderId="52" fillId="13" fontId="3" numFmtId="49" xfId="0" applyAlignment="1" applyBorder="1" applyFont="1" applyNumberFormat="1">
      <alignment horizontal="center" shrinkToFit="0" vertical="center" wrapText="1"/>
    </xf>
    <xf borderId="50" fillId="13" fontId="3" numFmtId="0" xfId="0" applyAlignment="1" applyBorder="1" applyFont="1">
      <alignment horizontal="center" shrinkToFit="0" vertical="center" wrapText="1"/>
    </xf>
    <xf borderId="51" fillId="13" fontId="3" numFmtId="1" xfId="0" applyAlignment="1" applyBorder="1" applyFont="1" applyNumberFormat="1">
      <alignment horizontal="center" shrinkToFit="0" vertical="center" wrapText="1"/>
    </xf>
    <xf borderId="53" fillId="13" fontId="3" numFmtId="1" xfId="0" applyAlignment="1" applyBorder="1" applyFont="1" applyNumberFormat="1">
      <alignment horizontal="center" shrinkToFit="0" vertical="center" wrapText="1"/>
    </xf>
    <xf borderId="54" fillId="13" fontId="3" numFmtId="0" xfId="0" applyAlignment="1" applyBorder="1" applyFont="1">
      <alignment horizontal="center" shrinkToFit="0" vertical="center" wrapText="1"/>
    </xf>
    <xf borderId="51" fillId="13" fontId="3" numFmtId="0" xfId="0" applyAlignment="1" applyBorder="1" applyFont="1">
      <alignment horizontal="center" shrinkToFit="0" vertical="center" wrapText="1"/>
    </xf>
    <xf borderId="52" fillId="13" fontId="3" numFmtId="1" xfId="0" applyAlignment="1" applyBorder="1" applyFont="1" applyNumberFormat="1">
      <alignment horizontal="center" shrinkToFit="0" vertical="center" wrapText="1"/>
    </xf>
    <xf borderId="51" fillId="0" fontId="4" numFmtId="0" xfId="0" applyAlignment="1" applyBorder="1" applyFont="1">
      <alignment horizontal="left" shrinkToFit="0" vertical="top" wrapText="1"/>
    </xf>
    <xf borderId="57" fillId="8" fontId="4" numFmtId="0" xfId="0" applyAlignment="1" applyBorder="1" applyFont="1">
      <alignment horizontal="center" shrinkToFit="1" vertical="center" wrapText="0"/>
    </xf>
    <xf borderId="58" fillId="9" fontId="4" numFmtId="0" xfId="0" applyAlignment="1" applyBorder="1" applyFont="1">
      <alignment horizontal="center" shrinkToFit="1" vertical="center" wrapText="0"/>
    </xf>
    <xf borderId="40" fillId="8" fontId="4" numFmtId="0" xfId="0" applyAlignment="1" applyBorder="1" applyFont="1">
      <alignment horizontal="center" shrinkToFit="1" vertical="center" wrapText="0"/>
    </xf>
    <xf borderId="15" fillId="0" fontId="4" numFmtId="1" xfId="0" applyAlignment="1" applyBorder="1" applyFont="1" applyNumberFormat="1">
      <alignment horizontal="center" shrinkToFit="0" vertical="center" wrapText="1"/>
    </xf>
    <xf borderId="50" fillId="3" fontId="3" numFmtId="0" xfId="0" applyAlignment="1" applyBorder="1" applyFont="1">
      <alignment horizontal="left" shrinkToFit="0" vertical="top" wrapText="1"/>
    </xf>
    <xf borderId="51" fillId="3" fontId="3" numFmtId="0" xfId="0" applyAlignment="1" applyBorder="1" applyFont="1">
      <alignment horizontal="left" shrinkToFit="0" vertical="top" wrapText="1"/>
    </xf>
    <xf borderId="51" fillId="3" fontId="3" numFmtId="0" xfId="0" applyAlignment="1" applyBorder="1" applyFont="1">
      <alignment horizontal="center" shrinkToFit="0" vertical="center" wrapText="1"/>
    </xf>
    <xf borderId="51" fillId="3" fontId="3" numFmtId="49" xfId="0" applyAlignment="1" applyBorder="1" applyFont="1" applyNumberFormat="1">
      <alignment horizontal="center" shrinkToFit="0" vertical="center" wrapText="1"/>
    </xf>
    <xf borderId="52" fillId="3" fontId="3" numFmtId="49" xfId="0" applyAlignment="1" applyBorder="1" applyFont="1" applyNumberFormat="1">
      <alignment horizontal="center" shrinkToFit="0" vertical="center" wrapText="1"/>
    </xf>
    <xf borderId="50" fillId="14" fontId="7" numFmtId="1" xfId="0" applyAlignment="1" applyBorder="1" applyFill="1" applyFont="1" applyNumberFormat="1">
      <alignment horizontal="center" shrinkToFit="1" vertical="center" wrapText="0"/>
    </xf>
    <xf borderId="51" fillId="14" fontId="7" numFmtId="1" xfId="0" applyAlignment="1" applyBorder="1" applyFont="1" applyNumberFormat="1">
      <alignment horizontal="center" shrinkToFit="1" vertical="center" wrapText="0"/>
    </xf>
    <xf borderId="53" fillId="14" fontId="7" numFmtId="1" xfId="0" applyAlignment="1" applyBorder="1" applyFont="1" applyNumberFormat="1">
      <alignment horizontal="center" shrinkToFit="1" vertical="center" wrapText="0"/>
    </xf>
    <xf borderId="54" fillId="14" fontId="7" numFmtId="1" xfId="0" applyAlignment="1" applyBorder="1" applyFont="1" applyNumberFormat="1">
      <alignment horizontal="center" shrinkToFit="1" vertical="center" wrapText="0"/>
    </xf>
    <xf borderId="52" fillId="14" fontId="7" numFmtId="1" xfId="0" applyAlignment="1" applyBorder="1" applyFont="1" applyNumberFormat="1">
      <alignment horizontal="center" shrinkToFit="1" vertical="center" wrapText="0"/>
    </xf>
    <xf borderId="59" fillId="14" fontId="7" numFmtId="1" xfId="0" applyAlignment="1" applyBorder="1" applyFont="1" applyNumberFormat="1">
      <alignment horizontal="center" shrinkToFit="1" vertical="center" wrapText="0"/>
    </xf>
    <xf borderId="56" fillId="14" fontId="7" numFmtId="1" xfId="0" applyAlignment="1" applyBorder="1" applyFont="1" applyNumberFormat="1">
      <alignment horizontal="center" shrinkToFit="1" vertical="center" wrapText="0"/>
    </xf>
    <xf borderId="42" fillId="14" fontId="7" numFmtId="1" xfId="0" applyAlignment="1" applyBorder="1" applyFont="1" applyNumberFormat="1">
      <alignment horizontal="center" shrinkToFit="1" vertical="center" wrapText="0"/>
    </xf>
    <xf borderId="60" fillId="14" fontId="7" numFmtId="1" xfId="0" applyAlignment="1" applyBorder="1" applyFont="1" applyNumberFormat="1">
      <alignment horizontal="center" shrinkToFit="1" vertical="center" wrapText="0"/>
    </xf>
    <xf borderId="50" fillId="0" fontId="4" numFmtId="0" xfId="0" applyAlignment="1" applyBorder="1" applyFont="1">
      <alignment horizontal="left" shrinkToFit="0" vertical="top" wrapText="1"/>
    </xf>
    <xf borderId="51" fillId="0" fontId="4" numFmtId="49" xfId="0" applyAlignment="1" applyBorder="1" applyFont="1" applyNumberFormat="1">
      <alignment horizontal="left" shrinkToFit="0" vertical="center" wrapText="1"/>
    </xf>
    <xf borderId="42" fillId="9" fontId="4" numFmtId="0" xfId="0" applyAlignment="1" applyBorder="1" applyFont="1">
      <alignment horizontal="center" shrinkToFit="1" vertical="center" wrapText="0"/>
    </xf>
    <xf borderId="43" fillId="8" fontId="4" numFmtId="0" xfId="0" applyAlignment="1" applyBorder="1" applyFont="1">
      <alignment horizontal="center" shrinkToFit="1" vertical="center" wrapText="0"/>
    </xf>
    <xf borderId="27" fillId="0" fontId="4" numFmtId="1" xfId="0" applyAlignment="1" applyBorder="1" applyFont="1" applyNumberFormat="1">
      <alignment horizontal="center" shrinkToFit="0" vertical="center" wrapText="1"/>
    </xf>
    <xf borderId="61" fillId="0" fontId="4" numFmtId="1" xfId="0" applyAlignment="1" applyBorder="1" applyFont="1" applyNumberFormat="1">
      <alignment horizontal="center" shrinkToFit="0" vertical="center" wrapText="1"/>
    </xf>
    <xf borderId="46" fillId="9" fontId="4" numFmtId="0" xfId="0" applyAlignment="1" applyBorder="1" applyFont="1">
      <alignment horizontal="center" shrinkToFit="1" vertical="center" wrapText="0"/>
    </xf>
    <xf borderId="18" fillId="0" fontId="4" numFmtId="1" xfId="0" applyAlignment="1" applyBorder="1" applyFont="1" applyNumberFormat="1">
      <alignment horizontal="center" shrinkToFit="0" vertical="center" wrapText="1"/>
    </xf>
    <xf borderId="50" fillId="0" fontId="7" numFmtId="0" xfId="0" applyAlignment="1" applyBorder="1" applyFont="1">
      <alignment horizontal="left" shrinkToFit="0" vertical="top" wrapText="1"/>
    </xf>
    <xf borderId="51" fillId="0" fontId="3" numFmtId="0" xfId="0" applyAlignment="1" applyBorder="1" applyFont="1">
      <alignment horizontal="left" shrinkToFit="0" vertical="center" wrapText="1"/>
    </xf>
    <xf borderId="51" fillId="0" fontId="12" numFmtId="0" xfId="0" applyAlignment="1" applyBorder="1" applyFont="1">
      <alignment horizontal="center" shrinkToFit="0" vertical="center" wrapText="1"/>
    </xf>
    <xf borderId="51" fillId="0" fontId="7" numFmtId="49" xfId="0" applyAlignment="1" applyBorder="1" applyFont="1" applyNumberFormat="1">
      <alignment horizontal="left" shrinkToFit="0" vertical="center" wrapText="1"/>
    </xf>
    <xf borderId="51" fillId="0" fontId="7" numFmtId="49" xfId="0" applyAlignment="1" applyBorder="1" applyFont="1" applyNumberFormat="1">
      <alignment horizontal="center" shrinkToFit="0" vertical="center" wrapText="1"/>
    </xf>
    <xf borderId="21" fillId="0" fontId="7" numFmtId="49" xfId="0" applyAlignment="1" applyBorder="1" applyFont="1" applyNumberFormat="1">
      <alignment horizontal="center" shrinkToFit="0" vertical="center" wrapText="1"/>
    </xf>
    <xf borderId="50" fillId="8" fontId="7" numFmtId="0" xfId="0" applyAlignment="1" applyBorder="1" applyFont="1">
      <alignment horizontal="center" shrinkToFit="1" vertical="center" wrapText="0"/>
    </xf>
    <xf borderId="51" fillId="8" fontId="7" numFmtId="0" xfId="0" applyAlignment="1" applyBorder="1" applyFont="1">
      <alignment horizontal="center" shrinkToFit="1" vertical="center" wrapText="0"/>
    </xf>
    <xf borderId="51" fillId="0" fontId="7" numFmtId="1" xfId="0" applyAlignment="1" applyBorder="1" applyFont="1" applyNumberFormat="1">
      <alignment horizontal="center" shrinkToFit="0" vertical="center" wrapText="1"/>
    </xf>
    <xf borderId="53" fillId="0" fontId="7" numFmtId="1" xfId="0" applyAlignment="1" applyBorder="1" applyFont="1" applyNumberFormat="1">
      <alignment horizontal="center" shrinkToFit="0" vertical="center" wrapText="1"/>
    </xf>
    <xf borderId="54" fillId="9" fontId="7" numFmtId="0" xfId="0" applyAlignment="1" applyBorder="1" applyFont="1">
      <alignment horizontal="center" shrinkToFit="1" vertical="center" wrapText="0"/>
    </xf>
    <xf borderId="21" fillId="0" fontId="7" numFmtId="1" xfId="0" applyAlignment="1" applyBorder="1" applyFont="1" applyNumberFormat="1">
      <alignment horizontal="center" shrinkToFit="0" vertical="center" wrapText="1"/>
    </xf>
    <xf borderId="50" fillId="9" fontId="7" numFmtId="0" xfId="0" applyAlignment="1" applyBorder="1" applyFont="1">
      <alignment horizontal="center" shrinkToFit="1" vertical="center" wrapText="0"/>
    </xf>
    <xf borderId="51" fillId="0" fontId="7" numFmtId="0" xfId="0" applyAlignment="1" applyBorder="1" applyFont="1">
      <alignment horizontal="left" shrinkToFit="0" vertical="top" wrapText="1"/>
    </xf>
    <xf borderId="42" fillId="3" fontId="7" numFmtId="0" xfId="0" applyAlignment="1" applyBorder="1" applyFont="1">
      <alignment horizontal="left" shrinkToFit="0" vertical="top" wrapText="1"/>
    </xf>
    <xf borderId="43" fillId="3" fontId="7" numFmtId="0" xfId="0" applyAlignment="1" applyBorder="1" applyFont="1">
      <alignment horizontal="left" shrinkToFit="0" vertical="top" wrapText="1"/>
    </xf>
    <xf borderId="43" fillId="3" fontId="7" numFmtId="0" xfId="0" applyAlignment="1" applyBorder="1" applyFont="1">
      <alignment horizontal="left" shrinkToFit="0" vertical="center" wrapText="1"/>
    </xf>
    <xf borderId="43" fillId="3" fontId="11" numFmtId="0" xfId="0" applyAlignment="1" applyBorder="1" applyFont="1">
      <alignment horizontal="left" shrinkToFit="0" vertical="center" wrapText="1"/>
    </xf>
    <xf borderId="43" fillId="3" fontId="7" numFmtId="49" xfId="0" applyAlignment="1" applyBorder="1" applyFont="1" applyNumberFormat="1">
      <alignment horizontal="left" shrinkToFit="0" vertical="center" wrapText="1"/>
    </xf>
    <xf borderId="43" fillId="3" fontId="7" numFmtId="49" xfId="0" applyAlignment="1" applyBorder="1" applyFont="1" applyNumberFormat="1">
      <alignment horizontal="center" shrinkToFit="0" vertical="center" wrapText="1"/>
    </xf>
    <xf borderId="44" fillId="3" fontId="7" numFmtId="49" xfId="0" applyAlignment="1" applyBorder="1" applyFont="1" applyNumberFormat="1">
      <alignment horizontal="center" shrinkToFit="0" vertical="center" wrapText="1"/>
    </xf>
    <xf borderId="50" fillId="14" fontId="7" numFmtId="0" xfId="0" applyAlignment="1" applyBorder="1" applyFont="1">
      <alignment horizontal="center" shrinkToFit="1" vertical="center" wrapText="0"/>
    </xf>
    <xf borderId="43" fillId="3" fontId="7" numFmtId="1" xfId="0" applyAlignment="1" applyBorder="1" applyFont="1" applyNumberFormat="1">
      <alignment horizontal="center" shrinkToFit="0" vertical="center" wrapText="1"/>
    </xf>
    <xf borderId="45" fillId="3" fontId="7" numFmtId="1" xfId="0" applyAlignment="1" applyBorder="1" applyFont="1" applyNumberFormat="1">
      <alignment horizontal="center" shrinkToFit="0" vertical="center" wrapText="1"/>
    </xf>
    <xf borderId="44" fillId="3" fontId="7" numFmtId="1" xfId="0" applyAlignment="1" applyBorder="1" applyFont="1" applyNumberFormat="1">
      <alignment horizontal="center" shrinkToFit="0" vertical="center" wrapText="1"/>
    </xf>
    <xf borderId="51" fillId="0" fontId="4" numFmtId="0" xfId="0" applyAlignment="1" applyBorder="1" applyFont="1">
      <alignment horizontal="left" shrinkToFit="0" vertical="center" wrapText="1"/>
    </xf>
    <xf borderId="54" fillId="8" fontId="4" numFmtId="0" xfId="0" applyAlignment="1" applyBorder="1" applyFont="1">
      <alignment horizontal="center" shrinkToFit="1" vertical="center" wrapText="0"/>
    </xf>
    <xf borderId="56" fillId="15" fontId="3" numFmtId="0" xfId="0" applyAlignment="1" applyBorder="1" applyFill="1" applyFont="1">
      <alignment horizontal="left" shrinkToFit="0" vertical="top" wrapText="1"/>
    </xf>
    <xf borderId="52" fillId="15" fontId="3" numFmtId="0" xfId="0" applyAlignment="1" applyBorder="1" applyFont="1">
      <alignment horizontal="left" shrinkToFit="0" vertical="top" wrapText="1"/>
    </xf>
    <xf borderId="52" fillId="15" fontId="3" numFmtId="0" xfId="0" applyAlignment="1" applyBorder="1" applyFont="1">
      <alignment horizontal="left" shrinkToFit="0" vertical="center" wrapText="1"/>
    </xf>
    <xf borderId="52" fillId="15" fontId="12" numFmtId="0" xfId="0" applyAlignment="1" applyBorder="1" applyFont="1">
      <alignment horizontal="left" shrinkToFit="0" vertical="center" wrapText="1"/>
    </xf>
    <xf borderId="52" fillId="15" fontId="3" numFmtId="49" xfId="0" applyAlignment="1" applyBorder="1" applyFont="1" applyNumberFormat="1">
      <alignment horizontal="left" shrinkToFit="0" vertical="center" wrapText="1"/>
    </xf>
    <xf borderId="52" fillId="15" fontId="3" numFmtId="49" xfId="0" applyAlignment="1" applyBorder="1" applyFont="1" applyNumberFormat="1">
      <alignment horizontal="center" shrinkToFit="0" vertical="center" wrapText="1"/>
    </xf>
    <xf borderId="56" fillId="15" fontId="3" numFmtId="49" xfId="0" applyAlignment="1" applyBorder="1" applyFont="1" applyNumberFormat="1">
      <alignment horizontal="center" shrinkToFit="0" vertical="center" wrapText="1"/>
    </xf>
    <xf borderId="52" fillId="15" fontId="3" numFmtId="1" xfId="0" applyAlignment="1" applyBorder="1" applyFont="1" applyNumberFormat="1">
      <alignment horizontal="center" shrinkToFit="0" vertical="center" wrapText="1"/>
    </xf>
    <xf borderId="53" fillId="15" fontId="3" numFmtId="1" xfId="0" applyAlignment="1" applyBorder="1" applyFont="1" applyNumberFormat="1">
      <alignment horizontal="center" shrinkToFit="0" vertical="center" wrapText="1"/>
    </xf>
    <xf borderId="55" fillId="15" fontId="3" numFmtId="1" xfId="0" applyAlignment="1" applyBorder="1" applyFont="1" applyNumberFormat="1">
      <alignment horizontal="center" shrinkToFit="0" vertical="center" wrapText="1"/>
    </xf>
    <xf borderId="56" fillId="15" fontId="3" numFmtId="1" xfId="0" applyAlignment="1" applyBorder="1" applyFont="1" applyNumberFormat="1">
      <alignment horizontal="center" shrinkToFit="0" vertical="center" wrapText="1"/>
    </xf>
    <xf borderId="51" fillId="6" fontId="3" numFmtId="0" xfId="0" applyAlignment="1" applyBorder="1" applyFont="1">
      <alignment horizontal="left" shrinkToFit="0" vertical="center" wrapText="1"/>
    </xf>
    <xf borderId="51" fillId="6" fontId="12" numFmtId="0" xfId="0" applyAlignment="1" applyBorder="1" applyFont="1">
      <alignment horizontal="left" shrinkToFit="0" vertical="center" wrapText="1"/>
    </xf>
    <xf borderId="51" fillId="6" fontId="3" numFmtId="49" xfId="0" applyAlignment="1" applyBorder="1" applyFont="1" applyNumberFormat="1">
      <alignment horizontal="left" shrinkToFit="0" vertical="center" wrapText="1"/>
    </xf>
    <xf borderId="51" fillId="6" fontId="3" numFmtId="49" xfId="0" applyAlignment="1" applyBorder="1" applyFont="1" applyNumberFormat="1">
      <alignment horizontal="center" shrinkToFit="0" vertical="center" wrapText="1"/>
    </xf>
    <xf borderId="52" fillId="6" fontId="3" numFmtId="49" xfId="0" applyAlignment="1" applyBorder="1" applyFont="1" applyNumberFormat="1">
      <alignment horizontal="center" shrinkToFit="0" vertical="center" wrapText="1"/>
    </xf>
    <xf borderId="50" fillId="6" fontId="3" numFmtId="0" xfId="0" applyAlignment="1" applyBorder="1" applyFont="1">
      <alignment horizontal="center" shrinkToFit="0" vertical="center" wrapText="1"/>
    </xf>
    <xf borderId="51" fillId="6" fontId="3" numFmtId="0" xfId="0" applyAlignment="1" applyBorder="1" applyFont="1">
      <alignment horizontal="center" shrinkToFit="0" vertical="center" wrapText="1"/>
    </xf>
    <xf borderId="51" fillId="6" fontId="3" numFmtId="1" xfId="0" applyAlignment="1" applyBorder="1" applyFont="1" applyNumberFormat="1">
      <alignment horizontal="center" shrinkToFit="0" vertical="center" wrapText="1"/>
    </xf>
    <xf borderId="53" fillId="6" fontId="3" numFmtId="0" xfId="0" applyAlignment="1" applyBorder="1" applyFont="1">
      <alignment horizontal="center" shrinkToFit="0" vertical="center" wrapText="1"/>
    </xf>
    <xf borderId="54" fillId="6" fontId="3" numFmtId="1" xfId="0" applyAlignment="1" applyBorder="1" applyFont="1" applyNumberFormat="1">
      <alignment horizontal="center" shrinkToFit="0" vertical="center" wrapText="1"/>
    </xf>
    <xf borderId="52" fillId="6" fontId="3" numFmtId="1" xfId="0" applyAlignment="1" applyBorder="1" applyFont="1" applyNumberFormat="1">
      <alignment horizontal="center" shrinkToFit="0" vertical="center" wrapText="1"/>
    </xf>
    <xf borderId="50" fillId="6" fontId="3" numFmtId="1" xfId="0" applyAlignment="1" applyBorder="1" applyFont="1" applyNumberFormat="1">
      <alignment horizontal="center" shrinkToFit="0" vertical="center" wrapText="1"/>
    </xf>
    <xf borderId="53" fillId="6" fontId="3" numFmtId="1" xfId="0" applyAlignment="1" applyBorder="1" applyFont="1" applyNumberFormat="1">
      <alignment horizontal="center" shrinkToFit="0" vertical="center" wrapText="1"/>
    </xf>
    <xf borderId="52" fillId="6" fontId="3" numFmtId="0" xfId="0" applyAlignment="1" applyBorder="1" applyFont="1">
      <alignment horizontal="center" shrinkToFit="0" vertical="center" wrapText="1"/>
    </xf>
    <xf borderId="62" fillId="3" fontId="3" numFmtId="0" xfId="0" applyAlignment="1" applyBorder="1" applyFont="1">
      <alignment horizontal="left" shrinkToFit="0" vertical="top" wrapText="1"/>
    </xf>
    <xf borderId="38" fillId="3" fontId="3" numFmtId="0" xfId="0" applyAlignment="1" applyBorder="1" applyFont="1">
      <alignment horizontal="left" shrinkToFit="0" vertical="top" wrapText="1"/>
    </xf>
    <xf borderId="38" fillId="3" fontId="3" numFmtId="0" xfId="0" applyAlignment="1" applyBorder="1" applyFont="1">
      <alignment horizontal="left" shrinkToFit="0" vertical="center" wrapText="1"/>
    </xf>
    <xf borderId="38" fillId="3" fontId="12" numFmtId="0" xfId="0" applyAlignment="1" applyBorder="1" applyFont="1">
      <alignment horizontal="left" shrinkToFit="0" vertical="center" wrapText="1"/>
    </xf>
    <xf borderId="38" fillId="3" fontId="3" numFmtId="49" xfId="0" applyAlignment="1" applyBorder="1" applyFont="1" applyNumberFormat="1">
      <alignment horizontal="left" shrinkToFit="0" vertical="center" wrapText="1"/>
    </xf>
    <xf borderId="38" fillId="3" fontId="3" numFmtId="49" xfId="0" applyAlignment="1" applyBorder="1" applyFont="1" applyNumberFormat="1">
      <alignment horizontal="center" shrinkToFit="0" vertical="center" wrapText="1"/>
    </xf>
    <xf borderId="63" fillId="3" fontId="3" numFmtId="49" xfId="0" applyAlignment="1" applyBorder="1" applyFont="1" applyNumberFormat="1">
      <alignment horizontal="center" shrinkToFit="0" vertical="center" wrapText="1"/>
    </xf>
    <xf borderId="62" fillId="3" fontId="3" numFmtId="0" xfId="0" applyAlignment="1" applyBorder="1" applyFont="1">
      <alignment horizontal="center" shrinkToFit="0" vertical="center" wrapText="1"/>
    </xf>
    <xf borderId="38" fillId="3" fontId="3" numFmtId="1" xfId="0" applyAlignment="1" applyBorder="1" applyFont="1" applyNumberFormat="1">
      <alignment horizontal="center" shrinkToFit="0" vertical="center" wrapText="1"/>
    </xf>
    <xf borderId="39" fillId="3" fontId="3" numFmtId="1" xfId="0" applyAlignment="1" applyBorder="1" applyFont="1" applyNumberFormat="1">
      <alignment horizontal="center" shrinkToFit="0" vertical="center" wrapText="1"/>
    </xf>
    <xf borderId="64" fillId="3" fontId="3" numFmtId="1" xfId="0" applyAlignment="1" applyBorder="1" applyFont="1" applyNumberFormat="1">
      <alignment horizontal="center" shrinkToFit="0" vertical="center" wrapText="1"/>
    </xf>
    <xf borderId="63" fillId="3" fontId="3" numFmtId="1" xfId="0" applyAlignment="1" applyBorder="1" applyFont="1" applyNumberFormat="1">
      <alignment horizontal="center" shrinkToFit="0" vertical="center" wrapText="1"/>
    </xf>
    <xf borderId="62" fillId="3" fontId="3" numFmtId="1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top" wrapText="1"/>
    </xf>
    <xf borderId="0" fillId="0" fontId="13" numFmtId="49" xfId="0" applyAlignment="1" applyFont="1" applyNumberFormat="1">
      <alignment horizontal="center"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bottom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4" numFmtId="49" xfId="0" applyAlignment="1" applyFont="1" applyNumberFormat="1">
      <alignment horizontal="left" shrinkToFit="0" vertical="bottom" wrapText="1"/>
    </xf>
    <xf borderId="0" fillId="0" fontId="15" numFmtId="0" xfId="0" applyAlignment="1" applyFont="1">
      <alignment horizontal="center" vertical="top"/>
    </xf>
    <xf borderId="65" fillId="16" fontId="14" numFmtId="0" xfId="0" applyAlignment="1" applyBorder="1" applyFill="1" applyFont="1">
      <alignment horizontal="left" shrinkToFit="0" vertical="center" wrapText="1"/>
    </xf>
    <xf borderId="40" fillId="16" fontId="16" numFmtId="0" xfId="0" applyAlignment="1" applyBorder="1" applyFont="1">
      <alignment horizontal="center" shrinkToFit="0" vertical="top" wrapText="1"/>
    </xf>
    <xf borderId="58" fillId="16" fontId="16" numFmtId="0" xfId="0" applyAlignment="1" applyBorder="1" applyFont="1">
      <alignment horizontal="center" shrinkToFit="0" vertical="top" wrapText="1"/>
    </xf>
    <xf borderId="66" fillId="16" fontId="1" numFmtId="0" xfId="0" applyAlignment="1" applyBorder="1" applyFont="1">
      <alignment horizontal="center" shrinkToFit="0" vertical="center" wrapText="1"/>
    </xf>
    <xf borderId="65" fillId="16" fontId="1" numFmtId="0" xfId="0" applyAlignment="1" applyBorder="1" applyFont="1">
      <alignment horizontal="center" shrinkToFit="0" vertical="center" wrapText="1"/>
    </xf>
    <xf borderId="67" fillId="0" fontId="15" numFmtId="0" xfId="0" applyAlignment="1" applyBorder="1" applyFont="1">
      <alignment horizontal="left" shrinkToFit="0" vertical="top" wrapText="1"/>
    </xf>
    <xf borderId="14" fillId="0" fontId="14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67" fillId="0" fontId="14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left" shrinkToFit="0" vertical="top" wrapText="1"/>
    </xf>
    <xf borderId="51" fillId="0" fontId="14" numFmtId="0" xfId="0" applyAlignment="1" applyBorder="1" applyFont="1">
      <alignment horizontal="center" shrinkToFit="0" vertical="center" wrapText="1"/>
    </xf>
    <xf borderId="68" fillId="0" fontId="14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68" fillId="0" fontId="15" numFmtId="0" xfId="0" applyAlignment="1" applyBorder="1" applyFont="1">
      <alignment horizontal="center" shrinkToFit="0" vertical="top" wrapText="1"/>
    </xf>
    <xf borderId="67" fillId="0" fontId="15" numFmtId="0" xfId="0" applyAlignment="1" applyBorder="1" applyFont="1">
      <alignment horizontal="left" readingOrder="0" shrinkToFit="0" vertical="top" wrapText="1"/>
    </xf>
    <xf borderId="13" fillId="0" fontId="14" numFmtId="1" xfId="0" applyAlignment="1" applyBorder="1" applyFont="1" applyNumberFormat="1">
      <alignment horizontal="center" shrinkToFit="1" vertical="top" wrapText="0"/>
    </xf>
    <xf borderId="0" fillId="0" fontId="15" numFmtId="0" xfId="0" applyAlignment="1" applyFont="1">
      <alignment horizontal="center" shrinkToFit="0" vertical="top" wrapText="1"/>
    </xf>
    <xf borderId="0" fillId="0" fontId="14" numFmtId="1" xfId="0" applyAlignment="1" applyFont="1" applyNumberFormat="1">
      <alignment horizontal="center" shrinkToFit="1" vertical="top" wrapText="0"/>
    </xf>
    <xf borderId="17" fillId="0" fontId="14" numFmtId="0" xfId="0" applyAlignment="1" applyBorder="1" applyFont="1">
      <alignment horizontal="center" shrinkToFit="0" vertical="center" wrapText="1"/>
    </xf>
    <xf borderId="68" fillId="0" fontId="14" numFmtId="1" xfId="0" applyAlignment="1" applyBorder="1" applyFont="1" applyNumberFormat="1">
      <alignment horizontal="center" shrinkToFit="1" vertical="top" wrapText="0"/>
    </xf>
    <xf borderId="18" fillId="0" fontId="15" numFmtId="0" xfId="0" applyAlignment="1" applyBorder="1" applyFont="1">
      <alignment horizontal="left" shrinkToFit="0" vertical="top" wrapText="1"/>
    </xf>
    <xf borderId="19" fillId="0" fontId="14" numFmtId="1" xfId="0" applyAlignment="1" applyBorder="1" applyFont="1" applyNumberFormat="1">
      <alignment horizontal="center" shrinkToFit="1" vertical="top" wrapText="0"/>
    </xf>
    <xf borderId="19" fillId="0" fontId="14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7" fillId="0" fontId="14" numFmtId="0" xfId="0" applyAlignment="1" applyBorder="1" applyFont="1">
      <alignment horizontal="center" shrinkToFit="0" vertical="center" wrapText="1"/>
    </xf>
    <xf borderId="67" fillId="0" fontId="15" numFmtId="0" xfId="0" applyAlignment="1" applyBorder="1" applyFont="1">
      <alignment horizontal="left" readingOrder="0" shrinkToFit="0" vertical="top" wrapText="1"/>
    </xf>
    <xf borderId="13" fillId="0" fontId="15" numFmtId="0" xfId="0" applyAlignment="1" applyBorder="1" applyFont="1">
      <alignment horizontal="center" shrinkToFit="0" vertical="top" wrapText="1"/>
    </xf>
    <xf borderId="69" fillId="0" fontId="14" numFmtId="1" xfId="0" applyAlignment="1" applyBorder="1" applyFont="1" applyNumberFormat="1">
      <alignment horizontal="center" shrinkToFit="1" vertical="top" wrapText="0"/>
    </xf>
    <xf borderId="69" fillId="0" fontId="14" numFmtId="0" xfId="0" applyAlignment="1" applyBorder="1" applyFont="1">
      <alignment horizontal="center" shrinkToFit="0" vertical="center" wrapText="1"/>
    </xf>
    <xf borderId="67" fillId="0" fontId="14" numFmtId="1" xfId="0" applyAlignment="1" applyBorder="1" applyFont="1" applyNumberFormat="1">
      <alignment horizontal="center" shrinkToFit="1" vertical="top" wrapText="0"/>
    </xf>
    <xf borderId="0" fillId="0" fontId="14" numFmtId="0" xfId="0" applyAlignment="1" applyFont="1">
      <alignment horizontal="center" readingOrder="0" shrinkToFit="0" vertical="center" wrapText="1"/>
    </xf>
    <xf borderId="44" fillId="12" fontId="15" numFmtId="0" xfId="0" applyAlignment="1" applyBorder="1" applyFont="1">
      <alignment horizontal="left" shrinkToFit="0" vertical="top" wrapText="1"/>
    </xf>
    <xf borderId="70" fillId="12" fontId="15" numFmtId="0" xfId="0" applyAlignment="1" applyBorder="1" applyFont="1">
      <alignment horizontal="left" shrinkToFit="0" vertical="top" wrapText="1"/>
    </xf>
    <xf borderId="65" fillId="12" fontId="15" numFmtId="0" xfId="0" applyAlignment="1" applyBorder="1" applyFont="1">
      <alignment horizontal="left" shrinkToFit="0" vertical="top" wrapText="1"/>
    </xf>
    <xf borderId="21" fillId="0" fontId="15" numFmtId="0" xfId="0" applyAlignment="1" applyBorder="1" applyFont="1">
      <alignment horizontal="left" shrinkToFit="0" vertical="top" wrapText="1"/>
    </xf>
    <xf borderId="22" fillId="0" fontId="14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29" fillId="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51" fillId="16" fontId="8" numFmtId="0" xfId="0" applyAlignment="1" applyBorder="1" applyFont="1">
      <alignment horizontal="center" shrinkToFit="0" vertical="top" wrapText="1"/>
    </xf>
    <xf borderId="21" fillId="16" fontId="8" numFmtId="0" xfId="0" applyAlignment="1" applyBorder="1" applyFont="1">
      <alignment horizontal="center" shrinkToFit="0" vertical="top" wrapText="1"/>
    </xf>
    <xf borderId="51" fillId="16" fontId="8" numFmtId="0" xfId="0" applyAlignment="1" applyBorder="1" applyFont="1">
      <alignment horizontal="left" shrinkToFit="0" vertical="top" wrapText="1"/>
    </xf>
    <xf borderId="51" fillId="0" fontId="2" numFmtId="0" xfId="0" applyAlignment="1" applyBorder="1" applyFont="1">
      <alignment horizontal="left" vertical="top"/>
    </xf>
    <xf borderId="21" fillId="0" fontId="2" numFmtId="0" xfId="0" applyAlignment="1" applyBorder="1" applyFont="1">
      <alignment horizontal="left" vertical="top"/>
    </xf>
    <xf borderId="51" fillId="0" fontId="2" numFmtId="1" xfId="0" applyAlignment="1" applyBorder="1" applyFont="1" applyNumberFormat="1">
      <alignment horizontal="left" vertical="top"/>
    </xf>
    <xf borderId="29" fillId="0" fontId="15" numFmtId="0" xfId="0" applyAlignment="1" applyBorder="1" applyFont="1">
      <alignment horizontal="left" vertical="top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hidden="1" min="1" max="1" width="10.14"/>
    <col customWidth="1" min="2" max="2" width="38.43"/>
    <col customWidth="1" min="3" max="3" width="8.86"/>
    <col customWidth="1" min="4" max="4" width="14.14"/>
    <col customWidth="1" min="5" max="12" width="4.71"/>
    <col customWidth="1" min="13" max="13" width="6.43"/>
    <col customWidth="1" min="14" max="14" width="5.86"/>
    <col customWidth="1" min="15" max="15" width="6.0"/>
    <col customWidth="1" min="16" max="18" width="5.71"/>
    <col customWidth="1" min="19" max="19" width="4.71"/>
    <col customWidth="1" min="20" max="21" width="4.86"/>
    <col customWidth="1" min="22" max="22" width="4.71"/>
    <col customWidth="1" min="23" max="23" width="4.86"/>
    <col customWidth="1" min="24" max="24" width="4.71"/>
    <col customWidth="1" min="25" max="26" width="4.86"/>
    <col customWidth="1" min="27" max="27" width="4.71"/>
    <col customWidth="1" min="28" max="28" width="4.86"/>
    <col customWidth="1" min="29" max="29" width="4.71"/>
    <col customWidth="1" min="30" max="31" width="4.86"/>
    <col customWidth="1" min="32" max="32" width="4.71"/>
    <col customWidth="1" min="33" max="33" width="4.86"/>
    <col customWidth="1" min="34" max="34" width="4.71"/>
    <col customWidth="1" min="35" max="36" width="4.86"/>
    <col customWidth="1" min="37" max="37" width="4.71"/>
    <col customWidth="1" min="38" max="38" width="4.86"/>
    <col customWidth="1" min="39" max="39" width="4.71"/>
    <col customWidth="1" min="40" max="41" width="4.86"/>
    <col customWidth="1" min="42" max="42" width="4.71"/>
    <col customWidth="1" min="43" max="43" width="4.86"/>
    <col customWidth="1" min="44" max="44" width="4.71"/>
    <col customWidth="1" min="45" max="45" width="4.86"/>
    <col customWidth="1" min="46" max="46" width="4.71"/>
    <col customWidth="1" min="47" max="48" width="4.86"/>
    <col customWidth="1" min="49" max="50" width="4.71"/>
    <col customWidth="1" min="51" max="52" width="4.86"/>
    <col customWidth="1" min="53" max="53" width="5.0"/>
    <col customWidth="1" min="54" max="54" width="4.86"/>
  </cols>
  <sheetData>
    <row r="1" ht="11.25" hidden="1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3"/>
    </row>
    <row r="2" ht="11.25" hidden="1" customHeight="1">
      <c r="A2" s="1" t="s">
        <v>1</v>
      </c>
      <c r="E2" s="2"/>
      <c r="F2" s="2"/>
      <c r="G2" s="2"/>
      <c r="H2" s="2"/>
      <c r="I2" s="2"/>
      <c r="J2" s="2"/>
      <c r="K2" s="2"/>
      <c r="L2" s="2"/>
      <c r="M2" s="3"/>
    </row>
    <row r="3" ht="11.25" hidden="1" customHeight="1">
      <c r="A3" s="3" t="s">
        <v>2</v>
      </c>
      <c r="E3" s="2"/>
      <c r="F3" s="2"/>
      <c r="G3" s="2"/>
      <c r="H3" s="2"/>
      <c r="I3" s="2"/>
      <c r="J3" s="2"/>
      <c r="K3" s="2"/>
      <c r="L3" s="2"/>
      <c r="M3" s="3"/>
    </row>
    <row r="4" ht="11.25" hidden="1" customHeight="1">
      <c r="A4" s="4" t="s">
        <v>3</v>
      </c>
      <c r="E4" s="2"/>
      <c r="F4" s="2"/>
      <c r="G4" s="2"/>
      <c r="H4" s="2"/>
      <c r="I4" s="2"/>
      <c r="J4" s="2"/>
      <c r="K4" s="2"/>
      <c r="L4" s="2"/>
      <c r="M4" s="3"/>
    </row>
    <row r="5" ht="11.25" hidden="1" customHeight="1">
      <c r="A5" s="4" t="s">
        <v>4</v>
      </c>
      <c r="E5" s="2"/>
      <c r="F5" s="2"/>
      <c r="G5" s="2"/>
      <c r="H5" s="2"/>
      <c r="I5" s="2"/>
      <c r="J5" s="2"/>
      <c r="K5" s="2"/>
      <c r="L5" s="2"/>
      <c r="M5" s="3"/>
    </row>
    <row r="6" ht="11.25" hidden="1" customHeight="1">
      <c r="A6" s="1" t="s">
        <v>5</v>
      </c>
      <c r="E6" s="2"/>
      <c r="F6" s="2"/>
      <c r="G6" s="2"/>
      <c r="H6" s="2"/>
      <c r="I6" s="2"/>
      <c r="J6" s="2"/>
      <c r="K6" s="2"/>
      <c r="L6" s="2"/>
      <c r="M6" s="3"/>
    </row>
    <row r="7" ht="12.75" hidden="1" customHeight="1">
      <c r="A7" s="1"/>
      <c r="E7" s="2"/>
      <c r="F7" s="2"/>
      <c r="G7" s="2"/>
      <c r="H7" s="2"/>
      <c r="I7" s="2"/>
      <c r="J7" s="2"/>
      <c r="K7" s="2"/>
      <c r="L7" s="2"/>
      <c r="M7" s="3"/>
    </row>
    <row r="8" ht="11.25" hidden="1" customHeight="1">
      <c r="A8" s="1"/>
      <c r="E8" s="2"/>
      <c r="F8" s="2"/>
      <c r="G8" s="2"/>
      <c r="H8" s="2"/>
      <c r="I8" s="2"/>
      <c r="J8" s="2"/>
      <c r="K8" s="2"/>
      <c r="L8" s="2"/>
      <c r="M8" s="3"/>
    </row>
    <row r="9" ht="10.5" customHeight="1">
      <c r="A9" s="5" t="s">
        <v>6</v>
      </c>
      <c r="B9" s="6"/>
      <c r="C9" s="7" t="s">
        <v>7</v>
      </c>
      <c r="D9" s="7" t="s">
        <v>8</v>
      </c>
      <c r="E9" s="8" t="s">
        <v>9</v>
      </c>
      <c r="F9" s="9"/>
      <c r="G9" s="10"/>
      <c r="H9" s="11" t="s">
        <v>10</v>
      </c>
      <c r="I9" s="12"/>
      <c r="J9" s="12"/>
      <c r="K9" s="12"/>
      <c r="L9" s="6"/>
      <c r="M9" s="13" t="s">
        <v>11</v>
      </c>
      <c r="N9" s="14" t="s">
        <v>12</v>
      </c>
      <c r="O9" s="9"/>
      <c r="P9" s="9"/>
      <c r="Q9" s="9"/>
      <c r="R9" s="15"/>
      <c r="S9" s="16" t="s">
        <v>13</v>
      </c>
      <c r="T9" s="12"/>
      <c r="U9" s="12"/>
      <c r="V9" s="12"/>
      <c r="W9" s="12"/>
      <c r="X9" s="12"/>
      <c r="Y9" s="12"/>
      <c r="Z9" s="12"/>
      <c r="AA9" s="17"/>
      <c r="AB9" s="18" t="s">
        <v>14</v>
      </c>
      <c r="AC9" s="12"/>
      <c r="AD9" s="12"/>
      <c r="AE9" s="12"/>
      <c r="AF9" s="12"/>
      <c r="AG9" s="12"/>
      <c r="AH9" s="12"/>
      <c r="AI9" s="12"/>
      <c r="AJ9" s="17"/>
      <c r="AK9" s="18" t="s">
        <v>15</v>
      </c>
      <c r="AL9" s="12"/>
      <c r="AM9" s="12"/>
      <c r="AN9" s="12"/>
      <c r="AO9" s="12"/>
      <c r="AP9" s="12"/>
      <c r="AQ9" s="12"/>
      <c r="AR9" s="12"/>
      <c r="AS9" s="17"/>
      <c r="AT9" s="18" t="s">
        <v>16</v>
      </c>
      <c r="AU9" s="12"/>
      <c r="AV9" s="12"/>
      <c r="AW9" s="12"/>
      <c r="AX9" s="12"/>
      <c r="AY9" s="12"/>
      <c r="AZ9" s="12"/>
      <c r="BA9" s="12"/>
      <c r="BB9" s="17"/>
    </row>
    <row r="10" ht="12.75" customHeight="1">
      <c r="A10" s="19"/>
      <c r="B10" s="20"/>
      <c r="C10" s="21"/>
      <c r="D10" s="21"/>
      <c r="E10" s="22" t="s">
        <v>17</v>
      </c>
      <c r="F10" s="23"/>
      <c r="G10" s="24" t="s">
        <v>18</v>
      </c>
      <c r="H10" s="25"/>
      <c r="I10" s="26"/>
      <c r="J10" s="26"/>
      <c r="K10" s="26"/>
      <c r="L10" s="27"/>
      <c r="M10" s="21"/>
      <c r="N10" s="28" t="s">
        <v>19</v>
      </c>
      <c r="O10" s="29" t="s">
        <v>20</v>
      </c>
      <c r="P10" s="30"/>
      <c r="Q10" s="30"/>
      <c r="R10" s="31"/>
      <c r="S10" s="32"/>
      <c r="T10" s="26"/>
      <c r="U10" s="26"/>
      <c r="V10" s="26"/>
      <c r="W10" s="26"/>
      <c r="X10" s="26"/>
      <c r="Y10" s="26"/>
      <c r="Z10" s="26"/>
      <c r="AA10" s="33"/>
      <c r="AB10" s="34"/>
      <c r="AC10" s="26"/>
      <c r="AD10" s="26"/>
      <c r="AE10" s="26"/>
      <c r="AF10" s="26"/>
      <c r="AG10" s="26"/>
      <c r="AH10" s="26"/>
      <c r="AI10" s="26"/>
      <c r="AJ10" s="33"/>
      <c r="AK10" s="34"/>
      <c r="AL10" s="26"/>
      <c r="AM10" s="26"/>
      <c r="AN10" s="26"/>
      <c r="AO10" s="26"/>
      <c r="AP10" s="26"/>
      <c r="AQ10" s="26"/>
      <c r="AR10" s="26"/>
      <c r="AS10" s="33"/>
      <c r="AT10" s="34"/>
      <c r="AU10" s="26"/>
      <c r="AV10" s="26"/>
      <c r="AW10" s="26"/>
      <c r="AX10" s="26"/>
      <c r="AY10" s="26"/>
      <c r="AZ10" s="26"/>
      <c r="BA10" s="26"/>
      <c r="BB10" s="33"/>
    </row>
    <row r="11" ht="10.5" customHeight="1">
      <c r="A11" s="34"/>
      <c r="B11" s="27"/>
      <c r="C11" s="21"/>
      <c r="D11" s="21"/>
      <c r="E11" s="25"/>
      <c r="F11" s="27"/>
      <c r="G11" s="21"/>
      <c r="H11" s="24" t="s">
        <v>21</v>
      </c>
      <c r="I11" s="24" t="s">
        <v>22</v>
      </c>
      <c r="J11" s="24" t="s">
        <v>23</v>
      </c>
      <c r="K11" s="24" t="s">
        <v>24</v>
      </c>
      <c r="L11" s="24" t="s">
        <v>25</v>
      </c>
      <c r="M11" s="35"/>
      <c r="N11" s="21"/>
      <c r="O11" s="28" t="s">
        <v>26</v>
      </c>
      <c r="P11" s="36" t="s">
        <v>20</v>
      </c>
      <c r="Q11" s="30"/>
      <c r="R11" s="31"/>
      <c r="S11" s="37" t="s">
        <v>11</v>
      </c>
      <c r="T11" s="29" t="s">
        <v>27</v>
      </c>
      <c r="U11" s="30"/>
      <c r="V11" s="30"/>
      <c r="W11" s="38"/>
      <c r="X11" s="29" t="s">
        <v>28</v>
      </c>
      <c r="Y11" s="30"/>
      <c r="Z11" s="30"/>
      <c r="AA11" s="31"/>
      <c r="AB11" s="39" t="s">
        <v>11</v>
      </c>
      <c r="AC11" s="29" t="s">
        <v>29</v>
      </c>
      <c r="AD11" s="30"/>
      <c r="AE11" s="30"/>
      <c r="AF11" s="38"/>
      <c r="AG11" s="29" t="s">
        <v>30</v>
      </c>
      <c r="AH11" s="30"/>
      <c r="AI11" s="30"/>
      <c r="AJ11" s="31"/>
      <c r="AK11" s="39" t="s">
        <v>11</v>
      </c>
      <c r="AL11" s="29" t="s">
        <v>31</v>
      </c>
      <c r="AM11" s="30"/>
      <c r="AN11" s="30"/>
      <c r="AO11" s="38"/>
      <c r="AP11" s="29" t="s">
        <v>32</v>
      </c>
      <c r="AQ11" s="30"/>
      <c r="AR11" s="30"/>
      <c r="AS11" s="31"/>
      <c r="AT11" s="39" t="s">
        <v>11</v>
      </c>
      <c r="AU11" s="29" t="s">
        <v>33</v>
      </c>
      <c r="AV11" s="30"/>
      <c r="AW11" s="30"/>
      <c r="AX11" s="38"/>
      <c r="AY11" s="29" t="s">
        <v>34</v>
      </c>
      <c r="AZ11" s="30"/>
      <c r="BA11" s="30"/>
      <c r="BB11" s="31"/>
    </row>
    <row r="12" ht="10.5" customHeight="1">
      <c r="A12" s="40"/>
      <c r="B12" s="41"/>
      <c r="C12" s="21"/>
      <c r="D12" s="21"/>
      <c r="E12" s="24" t="s">
        <v>35</v>
      </c>
      <c r="F12" s="24" t="s">
        <v>36</v>
      </c>
      <c r="G12" s="21"/>
      <c r="H12" s="21"/>
      <c r="I12" s="21"/>
      <c r="J12" s="21"/>
      <c r="K12" s="21"/>
      <c r="L12" s="21"/>
      <c r="M12" s="28" t="s">
        <v>19</v>
      </c>
      <c r="N12" s="21"/>
      <c r="O12" s="21"/>
      <c r="P12" s="28" t="s">
        <v>37</v>
      </c>
      <c r="Q12" s="28" t="s">
        <v>38</v>
      </c>
      <c r="R12" s="42" t="s">
        <v>39</v>
      </c>
      <c r="S12" s="43"/>
      <c r="T12" s="28" t="s">
        <v>40</v>
      </c>
      <c r="U12" s="29" t="s">
        <v>41</v>
      </c>
      <c r="V12" s="30"/>
      <c r="W12" s="38"/>
      <c r="X12" s="28" t="s">
        <v>40</v>
      </c>
      <c r="Y12" s="29" t="s">
        <v>41</v>
      </c>
      <c r="Z12" s="30"/>
      <c r="AA12" s="31"/>
      <c r="AB12" s="44"/>
      <c r="AC12" s="28" t="s">
        <v>40</v>
      </c>
      <c r="AD12" s="29" t="s">
        <v>41</v>
      </c>
      <c r="AE12" s="30"/>
      <c r="AF12" s="38"/>
      <c r="AG12" s="28" t="s">
        <v>40</v>
      </c>
      <c r="AH12" s="29" t="s">
        <v>41</v>
      </c>
      <c r="AI12" s="30"/>
      <c r="AJ12" s="31"/>
      <c r="AK12" s="44"/>
      <c r="AL12" s="28" t="s">
        <v>40</v>
      </c>
      <c r="AM12" s="29" t="s">
        <v>41</v>
      </c>
      <c r="AN12" s="30"/>
      <c r="AO12" s="38"/>
      <c r="AP12" s="28" t="s">
        <v>40</v>
      </c>
      <c r="AQ12" s="29" t="s">
        <v>41</v>
      </c>
      <c r="AR12" s="30"/>
      <c r="AS12" s="31"/>
      <c r="AT12" s="44"/>
      <c r="AU12" s="28" t="s">
        <v>40</v>
      </c>
      <c r="AV12" s="29" t="s">
        <v>41</v>
      </c>
      <c r="AW12" s="30"/>
      <c r="AX12" s="38"/>
      <c r="AY12" s="28" t="s">
        <v>40</v>
      </c>
      <c r="AZ12" s="29"/>
      <c r="BA12" s="30"/>
      <c r="BB12" s="31"/>
    </row>
    <row r="13" ht="78.0" customHeigh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8"/>
      <c r="T13" s="46"/>
      <c r="U13" s="49" t="s">
        <v>37</v>
      </c>
      <c r="V13" s="49" t="s">
        <v>38</v>
      </c>
      <c r="W13" s="49" t="s">
        <v>39</v>
      </c>
      <c r="X13" s="46"/>
      <c r="Y13" s="49" t="s">
        <v>37</v>
      </c>
      <c r="Z13" s="49" t="s">
        <v>38</v>
      </c>
      <c r="AA13" s="50" t="s">
        <v>39</v>
      </c>
      <c r="AB13" s="44"/>
      <c r="AC13" s="21"/>
      <c r="AD13" s="51" t="s">
        <v>37</v>
      </c>
      <c r="AE13" s="51" t="s">
        <v>38</v>
      </c>
      <c r="AF13" s="51" t="s">
        <v>39</v>
      </c>
      <c r="AG13" s="21"/>
      <c r="AH13" s="51" t="s">
        <v>37</v>
      </c>
      <c r="AI13" s="51" t="s">
        <v>38</v>
      </c>
      <c r="AJ13" s="52" t="s">
        <v>39</v>
      </c>
      <c r="AK13" s="45"/>
      <c r="AL13" s="46"/>
      <c r="AM13" s="49" t="s">
        <v>37</v>
      </c>
      <c r="AN13" s="49" t="s">
        <v>38</v>
      </c>
      <c r="AO13" s="49" t="s">
        <v>39</v>
      </c>
      <c r="AP13" s="46"/>
      <c r="AQ13" s="49" t="s">
        <v>37</v>
      </c>
      <c r="AR13" s="49" t="s">
        <v>38</v>
      </c>
      <c r="AS13" s="50" t="s">
        <v>39</v>
      </c>
      <c r="AT13" s="44"/>
      <c r="AU13" s="21"/>
      <c r="AV13" s="51" t="s">
        <v>37</v>
      </c>
      <c r="AW13" s="51" t="s">
        <v>38</v>
      </c>
      <c r="AX13" s="51" t="s">
        <v>39</v>
      </c>
      <c r="AY13" s="21"/>
      <c r="AZ13" s="51" t="s">
        <v>37</v>
      </c>
      <c r="BA13" s="51" t="s">
        <v>38</v>
      </c>
      <c r="BB13" s="52" t="s">
        <v>39</v>
      </c>
    </row>
    <row r="14" ht="12.75" customHeight="1">
      <c r="A14" s="53" t="s">
        <v>42</v>
      </c>
      <c r="B14" s="54" t="s">
        <v>43</v>
      </c>
      <c r="C14" s="55"/>
      <c r="D14" s="56"/>
      <c r="E14" s="57"/>
      <c r="F14" s="57"/>
      <c r="G14" s="57"/>
      <c r="H14" s="57"/>
      <c r="I14" s="57"/>
      <c r="J14" s="57"/>
      <c r="K14" s="57"/>
      <c r="L14" s="58"/>
      <c r="M14" s="59">
        <f t="shared" ref="M14:BB14" si="1">M15+M40</f>
        <v>207</v>
      </c>
      <c r="N14" s="60">
        <f t="shared" si="1"/>
        <v>6732</v>
      </c>
      <c r="O14" s="60">
        <f t="shared" si="1"/>
        <v>2636</v>
      </c>
      <c r="P14" s="60">
        <f t="shared" si="1"/>
        <v>728</v>
      </c>
      <c r="Q14" s="60">
        <f t="shared" si="1"/>
        <v>1908</v>
      </c>
      <c r="R14" s="61">
        <f t="shared" si="1"/>
        <v>4096</v>
      </c>
      <c r="S14" s="62">
        <f t="shared" si="1"/>
        <v>61</v>
      </c>
      <c r="T14" s="60">
        <f t="shared" si="1"/>
        <v>32</v>
      </c>
      <c r="U14" s="60">
        <f t="shared" si="1"/>
        <v>148</v>
      </c>
      <c r="V14" s="60">
        <f t="shared" si="1"/>
        <v>386</v>
      </c>
      <c r="W14" s="60">
        <f t="shared" si="1"/>
        <v>742</v>
      </c>
      <c r="X14" s="60">
        <f t="shared" si="1"/>
        <v>20</v>
      </c>
      <c r="Y14" s="60">
        <f t="shared" si="1"/>
        <v>98</v>
      </c>
      <c r="Z14" s="60">
        <f t="shared" si="1"/>
        <v>238</v>
      </c>
      <c r="AA14" s="63">
        <f t="shared" si="1"/>
        <v>548</v>
      </c>
      <c r="AB14" s="64">
        <f t="shared" si="1"/>
        <v>48</v>
      </c>
      <c r="AC14" s="65">
        <f t="shared" si="1"/>
        <v>19</v>
      </c>
      <c r="AD14" s="65">
        <f t="shared" si="1"/>
        <v>80</v>
      </c>
      <c r="AE14" s="65">
        <f t="shared" si="1"/>
        <v>238</v>
      </c>
      <c r="AF14" s="65">
        <f t="shared" si="1"/>
        <v>582</v>
      </c>
      <c r="AG14" s="65">
        <f t="shared" si="1"/>
        <v>21</v>
      </c>
      <c r="AH14" s="65">
        <f t="shared" si="1"/>
        <v>80</v>
      </c>
      <c r="AI14" s="65">
        <f t="shared" si="1"/>
        <v>272</v>
      </c>
      <c r="AJ14" s="66">
        <f t="shared" si="1"/>
        <v>476</v>
      </c>
      <c r="AK14" s="62">
        <f t="shared" si="1"/>
        <v>47</v>
      </c>
      <c r="AL14" s="60">
        <f t="shared" si="1"/>
        <v>17</v>
      </c>
      <c r="AM14" s="60">
        <f t="shared" si="1"/>
        <v>82</v>
      </c>
      <c r="AN14" s="60">
        <f t="shared" si="1"/>
        <v>206</v>
      </c>
      <c r="AO14" s="60">
        <f t="shared" si="1"/>
        <v>396</v>
      </c>
      <c r="AP14" s="60">
        <f t="shared" si="1"/>
        <v>24</v>
      </c>
      <c r="AQ14" s="60">
        <f t="shared" si="1"/>
        <v>128</v>
      </c>
      <c r="AR14" s="60">
        <f t="shared" si="1"/>
        <v>276</v>
      </c>
      <c r="AS14" s="63">
        <f t="shared" si="1"/>
        <v>712</v>
      </c>
      <c r="AT14" s="64">
        <f t="shared" si="1"/>
        <v>29</v>
      </c>
      <c r="AU14" s="65">
        <f t="shared" si="1"/>
        <v>24</v>
      </c>
      <c r="AV14" s="65">
        <f t="shared" si="1"/>
        <v>112</v>
      </c>
      <c r="AW14" s="65">
        <f t="shared" si="1"/>
        <v>292</v>
      </c>
      <c r="AX14" s="65">
        <f t="shared" si="1"/>
        <v>640</v>
      </c>
      <c r="AY14" s="65">
        <f t="shared" si="1"/>
        <v>0</v>
      </c>
      <c r="AZ14" s="65">
        <f t="shared" si="1"/>
        <v>0</v>
      </c>
      <c r="BA14" s="65">
        <f t="shared" si="1"/>
        <v>0</v>
      </c>
      <c r="BB14" s="66">
        <f t="shared" si="1"/>
        <v>0</v>
      </c>
    </row>
    <row r="15" ht="12.75" customHeight="1">
      <c r="A15" s="67" t="s">
        <v>44</v>
      </c>
      <c r="B15" s="68" t="s">
        <v>45</v>
      </c>
      <c r="C15" s="69"/>
      <c r="D15" s="70"/>
      <c r="E15" s="71"/>
      <c r="F15" s="71"/>
      <c r="G15" s="71"/>
      <c r="H15" s="71"/>
      <c r="I15" s="71"/>
      <c r="J15" s="71"/>
      <c r="K15" s="71"/>
      <c r="L15" s="72"/>
      <c r="M15" s="73">
        <f t="shared" ref="M15:BB15" si="2">M16+M27+M34</f>
        <v>102</v>
      </c>
      <c r="N15" s="74">
        <f t="shared" si="2"/>
        <v>3672</v>
      </c>
      <c r="O15" s="74">
        <f t="shared" si="2"/>
        <v>1456</v>
      </c>
      <c r="P15" s="74">
        <f t="shared" si="2"/>
        <v>358</v>
      </c>
      <c r="Q15" s="74">
        <f t="shared" si="2"/>
        <v>1098</v>
      </c>
      <c r="R15" s="75">
        <f t="shared" si="2"/>
        <v>2216</v>
      </c>
      <c r="S15" s="76">
        <f t="shared" si="2"/>
        <v>46</v>
      </c>
      <c r="T15" s="74">
        <f t="shared" si="2"/>
        <v>25</v>
      </c>
      <c r="U15" s="74">
        <f t="shared" si="2"/>
        <v>116</v>
      </c>
      <c r="V15" s="74">
        <f t="shared" si="2"/>
        <v>300</v>
      </c>
      <c r="W15" s="74">
        <f t="shared" si="2"/>
        <v>536</v>
      </c>
      <c r="X15" s="74">
        <f t="shared" si="2"/>
        <v>15</v>
      </c>
      <c r="Y15" s="74">
        <f t="shared" si="2"/>
        <v>64</v>
      </c>
      <c r="Z15" s="74">
        <f t="shared" si="2"/>
        <v>186</v>
      </c>
      <c r="AA15" s="77">
        <f t="shared" si="2"/>
        <v>454</v>
      </c>
      <c r="AB15" s="73">
        <f t="shared" si="2"/>
        <v>40</v>
      </c>
      <c r="AC15" s="74">
        <f t="shared" si="2"/>
        <v>16</v>
      </c>
      <c r="AD15" s="74">
        <f t="shared" si="2"/>
        <v>64</v>
      </c>
      <c r="AE15" s="74">
        <f t="shared" si="2"/>
        <v>204</v>
      </c>
      <c r="AF15" s="74">
        <f t="shared" si="2"/>
        <v>488</v>
      </c>
      <c r="AG15" s="74">
        <f t="shared" si="2"/>
        <v>18</v>
      </c>
      <c r="AH15" s="74">
        <f t="shared" si="2"/>
        <v>64</v>
      </c>
      <c r="AI15" s="74">
        <f t="shared" si="2"/>
        <v>238</v>
      </c>
      <c r="AJ15" s="75">
        <f t="shared" si="2"/>
        <v>382</v>
      </c>
      <c r="AK15" s="76">
        <f t="shared" si="2"/>
        <v>13</v>
      </c>
      <c r="AL15" s="74">
        <f t="shared" si="2"/>
        <v>9</v>
      </c>
      <c r="AM15" s="74">
        <f t="shared" si="2"/>
        <v>50</v>
      </c>
      <c r="AN15" s="74">
        <f t="shared" si="2"/>
        <v>102</v>
      </c>
      <c r="AO15" s="74">
        <f t="shared" si="2"/>
        <v>208</v>
      </c>
      <c r="AP15" s="74">
        <f t="shared" si="2"/>
        <v>2</v>
      </c>
      <c r="AQ15" s="74">
        <f t="shared" si="2"/>
        <v>0</v>
      </c>
      <c r="AR15" s="74">
        <f t="shared" si="2"/>
        <v>34</v>
      </c>
      <c r="AS15" s="77">
        <f t="shared" si="2"/>
        <v>74</v>
      </c>
      <c r="AT15" s="73">
        <f t="shared" si="2"/>
        <v>3</v>
      </c>
      <c r="AU15" s="74">
        <f t="shared" si="2"/>
        <v>2</v>
      </c>
      <c r="AV15" s="74">
        <f t="shared" si="2"/>
        <v>0</v>
      </c>
      <c r="AW15" s="74">
        <f t="shared" si="2"/>
        <v>34</v>
      </c>
      <c r="AX15" s="74">
        <f t="shared" si="2"/>
        <v>74</v>
      </c>
      <c r="AY15" s="74">
        <f t="shared" si="2"/>
        <v>0</v>
      </c>
      <c r="AZ15" s="74">
        <f t="shared" si="2"/>
        <v>0</v>
      </c>
      <c r="BA15" s="74">
        <f t="shared" si="2"/>
        <v>0</v>
      </c>
      <c r="BB15" s="75">
        <f t="shared" si="2"/>
        <v>0</v>
      </c>
    </row>
    <row r="16" ht="12.75" customHeight="1">
      <c r="A16" s="78" t="s">
        <v>46</v>
      </c>
      <c r="B16" s="79" t="s">
        <v>47</v>
      </c>
      <c r="C16" s="80"/>
      <c r="D16" s="81"/>
      <c r="E16" s="82"/>
      <c r="F16" s="82"/>
      <c r="G16" s="83"/>
      <c r="H16" s="83"/>
      <c r="I16" s="83"/>
      <c r="J16" s="82"/>
      <c r="K16" s="82"/>
      <c r="L16" s="84"/>
      <c r="M16" s="85">
        <f t="shared" ref="M16:BB16" si="3">SUM(M17:M26)</f>
        <v>38</v>
      </c>
      <c r="N16" s="86">
        <f t="shared" si="3"/>
        <v>1368</v>
      </c>
      <c r="O16" s="86">
        <f t="shared" si="3"/>
        <v>650</v>
      </c>
      <c r="P16" s="86">
        <f t="shared" si="3"/>
        <v>130</v>
      </c>
      <c r="Q16" s="86">
        <f t="shared" si="3"/>
        <v>520</v>
      </c>
      <c r="R16" s="87">
        <f t="shared" si="3"/>
        <v>718</v>
      </c>
      <c r="S16" s="88">
        <f t="shared" si="3"/>
        <v>17</v>
      </c>
      <c r="T16" s="89">
        <f t="shared" si="3"/>
        <v>17</v>
      </c>
      <c r="U16" s="89">
        <f t="shared" si="3"/>
        <v>80</v>
      </c>
      <c r="V16" s="89">
        <f t="shared" si="3"/>
        <v>214</v>
      </c>
      <c r="W16" s="89">
        <f t="shared" si="3"/>
        <v>262</v>
      </c>
      <c r="X16" s="89">
        <f t="shared" si="3"/>
        <v>2</v>
      </c>
      <c r="Y16" s="86">
        <f t="shared" si="3"/>
        <v>0</v>
      </c>
      <c r="Z16" s="86">
        <f t="shared" si="3"/>
        <v>34</v>
      </c>
      <c r="AA16" s="90">
        <f t="shared" si="3"/>
        <v>22</v>
      </c>
      <c r="AB16" s="85">
        <f t="shared" si="3"/>
        <v>5</v>
      </c>
      <c r="AC16" s="89">
        <f t="shared" si="3"/>
        <v>2</v>
      </c>
      <c r="AD16" s="86">
        <f t="shared" si="3"/>
        <v>0</v>
      </c>
      <c r="AE16" s="86">
        <f t="shared" si="3"/>
        <v>34</v>
      </c>
      <c r="AF16" s="86">
        <f t="shared" si="3"/>
        <v>38</v>
      </c>
      <c r="AG16" s="89">
        <f t="shared" si="3"/>
        <v>4</v>
      </c>
      <c r="AH16" s="86">
        <f t="shared" si="3"/>
        <v>0</v>
      </c>
      <c r="AI16" s="86">
        <f t="shared" si="3"/>
        <v>68</v>
      </c>
      <c r="AJ16" s="87">
        <f t="shared" si="3"/>
        <v>40</v>
      </c>
      <c r="AK16" s="88">
        <f t="shared" si="3"/>
        <v>13</v>
      </c>
      <c r="AL16" s="89">
        <f t="shared" si="3"/>
        <v>9</v>
      </c>
      <c r="AM16" s="86">
        <f t="shared" si="3"/>
        <v>50</v>
      </c>
      <c r="AN16" s="86">
        <f t="shared" si="3"/>
        <v>102</v>
      </c>
      <c r="AO16" s="86">
        <f t="shared" si="3"/>
        <v>208</v>
      </c>
      <c r="AP16" s="89">
        <f t="shared" si="3"/>
        <v>2</v>
      </c>
      <c r="AQ16" s="86">
        <f t="shared" si="3"/>
        <v>0</v>
      </c>
      <c r="AR16" s="86">
        <f t="shared" si="3"/>
        <v>34</v>
      </c>
      <c r="AS16" s="90">
        <f t="shared" si="3"/>
        <v>74</v>
      </c>
      <c r="AT16" s="85">
        <f t="shared" si="3"/>
        <v>3</v>
      </c>
      <c r="AU16" s="89">
        <f t="shared" si="3"/>
        <v>2</v>
      </c>
      <c r="AV16" s="86">
        <f t="shared" si="3"/>
        <v>0</v>
      </c>
      <c r="AW16" s="86">
        <f t="shared" si="3"/>
        <v>34</v>
      </c>
      <c r="AX16" s="86">
        <f t="shared" si="3"/>
        <v>74</v>
      </c>
      <c r="AY16" s="89">
        <f t="shared" si="3"/>
        <v>0</v>
      </c>
      <c r="AZ16" s="86">
        <f t="shared" si="3"/>
        <v>0</v>
      </c>
      <c r="BA16" s="86">
        <f t="shared" si="3"/>
        <v>0</v>
      </c>
      <c r="BB16" s="87">
        <f t="shared" si="3"/>
        <v>0</v>
      </c>
    </row>
    <row r="17" ht="24.75" customHeight="1">
      <c r="A17" s="91" t="s">
        <v>48</v>
      </c>
      <c r="B17" s="92" t="s">
        <v>49</v>
      </c>
      <c r="C17" s="93" t="s">
        <v>50</v>
      </c>
      <c r="D17" s="94" t="str">
        <f>VLOOKUP(B17,'Матрица компетенций'!$A$4:$C$66,3,FALSE)</f>
        <v>УК-1</v>
      </c>
      <c r="E17" s="95"/>
      <c r="F17" s="96" t="s">
        <v>51</v>
      </c>
      <c r="G17" s="95"/>
      <c r="H17" s="95"/>
      <c r="I17" s="95"/>
      <c r="J17" s="95"/>
      <c r="K17" s="95"/>
      <c r="L17" s="97"/>
      <c r="M17" s="98">
        <f t="shared" ref="M17:M19" si="5">N17/36</f>
        <v>1</v>
      </c>
      <c r="N17" s="99">
        <f t="shared" ref="N17:N26" si="6">O17+R17</f>
        <v>36</v>
      </c>
      <c r="O17" s="100">
        <f t="shared" ref="O17:O26" si="7">P17+Q17</f>
        <v>16</v>
      </c>
      <c r="P17" s="100">
        <f t="shared" ref="P17:R17" si="4">U17+Y17+AD17+AH17+AM17+AQ17+AV17+AZ17</f>
        <v>12</v>
      </c>
      <c r="Q17" s="100">
        <f t="shared" si="4"/>
        <v>4</v>
      </c>
      <c r="R17" s="101">
        <f t="shared" si="4"/>
        <v>20</v>
      </c>
      <c r="S17" s="102">
        <v>1.0</v>
      </c>
      <c r="T17" s="103">
        <v>1.0</v>
      </c>
      <c r="U17" s="104">
        <v>12.0</v>
      </c>
      <c r="V17" s="104">
        <v>4.0</v>
      </c>
      <c r="W17" s="104">
        <v>20.0</v>
      </c>
      <c r="X17" s="103"/>
      <c r="Y17" s="100"/>
      <c r="Z17" s="100"/>
      <c r="AA17" s="105"/>
      <c r="AB17" s="106"/>
      <c r="AC17" s="103"/>
      <c r="AD17" s="100"/>
      <c r="AE17" s="100"/>
      <c r="AF17" s="100"/>
      <c r="AG17" s="103"/>
      <c r="AH17" s="100"/>
      <c r="AI17" s="100"/>
      <c r="AJ17" s="101"/>
      <c r="AK17" s="102"/>
      <c r="AL17" s="103"/>
      <c r="AM17" s="100"/>
      <c r="AN17" s="100"/>
      <c r="AO17" s="100"/>
      <c r="AP17" s="103"/>
      <c r="AQ17" s="100"/>
      <c r="AR17" s="100"/>
      <c r="AS17" s="105"/>
      <c r="AT17" s="106"/>
      <c r="AU17" s="103"/>
      <c r="AV17" s="100"/>
      <c r="AW17" s="100"/>
      <c r="AX17" s="100"/>
      <c r="AY17" s="103"/>
      <c r="AZ17" s="100"/>
      <c r="BA17" s="100"/>
      <c r="BB17" s="101"/>
    </row>
    <row r="18">
      <c r="A18" s="91" t="s">
        <v>52</v>
      </c>
      <c r="B18" s="107" t="s">
        <v>53</v>
      </c>
      <c r="C18" s="93" t="s">
        <v>54</v>
      </c>
      <c r="D18" s="94" t="str">
        <f>VLOOKUP(B18,'Матрица компетенций'!$A$4:$C$66,3,FALSE)</f>
        <v>УК-1, УК-15</v>
      </c>
      <c r="E18" s="108" t="s">
        <v>51</v>
      </c>
      <c r="F18" s="95"/>
      <c r="G18" s="95"/>
      <c r="H18" s="95"/>
      <c r="I18" s="109" t="s">
        <v>51</v>
      </c>
      <c r="J18" s="95"/>
      <c r="K18" s="95"/>
      <c r="L18" s="110"/>
      <c r="M18" s="98">
        <f t="shared" si="5"/>
        <v>4</v>
      </c>
      <c r="N18" s="99">
        <f t="shared" si="6"/>
        <v>144</v>
      </c>
      <c r="O18" s="100">
        <f t="shared" si="7"/>
        <v>86</v>
      </c>
      <c r="P18" s="100">
        <f t="shared" ref="P18:R18" si="8">U18+Y18+AD18+AH18+AM18+AQ18+AV18+AZ18</f>
        <v>34</v>
      </c>
      <c r="Q18" s="100">
        <f t="shared" si="8"/>
        <v>52</v>
      </c>
      <c r="R18" s="101">
        <f t="shared" si="8"/>
        <v>58</v>
      </c>
      <c r="S18" s="102">
        <v>4.0</v>
      </c>
      <c r="T18" s="111">
        <v>5.0</v>
      </c>
      <c r="U18" s="112">
        <v>34.0</v>
      </c>
      <c r="V18" s="112">
        <v>52.0</v>
      </c>
      <c r="W18" s="113">
        <v>58.0</v>
      </c>
      <c r="X18" s="103"/>
      <c r="Y18" s="104"/>
      <c r="Z18" s="104"/>
      <c r="AA18" s="105"/>
      <c r="AB18" s="106"/>
      <c r="AC18" s="103"/>
      <c r="AD18" s="100"/>
      <c r="AE18" s="100"/>
      <c r="AF18" s="100"/>
      <c r="AG18" s="103"/>
      <c r="AH18" s="100"/>
      <c r="AI18" s="100"/>
      <c r="AJ18" s="101"/>
      <c r="AK18" s="102"/>
      <c r="AL18" s="103"/>
      <c r="AM18" s="100"/>
      <c r="AN18" s="100"/>
      <c r="AO18" s="100"/>
      <c r="AP18" s="103"/>
      <c r="AQ18" s="100"/>
      <c r="AR18" s="100"/>
      <c r="AS18" s="105"/>
      <c r="AT18" s="106"/>
      <c r="AU18" s="103"/>
      <c r="AV18" s="100"/>
      <c r="AW18" s="100"/>
      <c r="AX18" s="100"/>
      <c r="AY18" s="103"/>
      <c r="AZ18" s="100"/>
      <c r="BA18" s="100"/>
      <c r="BB18" s="101"/>
    </row>
    <row r="19" ht="12.75" customHeight="1">
      <c r="A19" s="91" t="s">
        <v>55</v>
      </c>
      <c r="B19" s="92" t="s">
        <v>56</v>
      </c>
      <c r="C19" s="93" t="s">
        <v>57</v>
      </c>
      <c r="D19" s="94" t="str">
        <f>VLOOKUP(B19,'Матрица компетенций'!$A$4:$C$66,3,FALSE)</f>
        <v>УК-7</v>
      </c>
      <c r="E19" s="95"/>
      <c r="F19" s="95" t="s">
        <v>51</v>
      </c>
      <c r="G19" s="95"/>
      <c r="H19" s="95"/>
      <c r="I19" s="95"/>
      <c r="J19" s="95" t="s">
        <v>51</v>
      </c>
      <c r="K19" s="95"/>
      <c r="L19" s="97"/>
      <c r="M19" s="98">
        <f t="shared" si="5"/>
        <v>2</v>
      </c>
      <c r="N19" s="99">
        <f t="shared" si="6"/>
        <v>72</v>
      </c>
      <c r="O19" s="100">
        <f t="shared" si="7"/>
        <v>34</v>
      </c>
      <c r="P19" s="100">
        <f t="shared" ref="P19:R19" si="9">U19+Y19+AD19+AH19+AM19+AQ19+AV19+AZ19</f>
        <v>16</v>
      </c>
      <c r="Q19" s="100">
        <f t="shared" si="9"/>
        <v>18</v>
      </c>
      <c r="R19" s="101">
        <f t="shared" si="9"/>
        <v>38</v>
      </c>
      <c r="S19" s="102">
        <v>2.0</v>
      </c>
      <c r="T19" s="103">
        <v>2.0</v>
      </c>
      <c r="U19" s="100">
        <v>16.0</v>
      </c>
      <c r="V19" s="100">
        <v>18.0</v>
      </c>
      <c r="W19" s="100">
        <v>38.0</v>
      </c>
      <c r="X19" s="103"/>
      <c r="Y19" s="100"/>
      <c r="Z19" s="100"/>
      <c r="AA19" s="105"/>
      <c r="AB19" s="106"/>
      <c r="AC19" s="103"/>
      <c r="AD19" s="100"/>
      <c r="AE19" s="100"/>
      <c r="AF19" s="100"/>
      <c r="AG19" s="103"/>
      <c r="AH19" s="100"/>
      <c r="AI19" s="100"/>
      <c r="AJ19" s="101"/>
      <c r="AK19" s="102"/>
      <c r="AL19" s="103"/>
      <c r="AM19" s="100"/>
      <c r="AN19" s="100"/>
      <c r="AO19" s="100"/>
      <c r="AP19" s="103"/>
      <c r="AQ19" s="100"/>
      <c r="AR19" s="100"/>
      <c r="AS19" s="105"/>
      <c r="AT19" s="106"/>
      <c r="AU19" s="103"/>
      <c r="AV19" s="100"/>
      <c r="AW19" s="100"/>
      <c r="AX19" s="100"/>
      <c r="AY19" s="103"/>
      <c r="AZ19" s="100"/>
      <c r="BA19" s="100"/>
      <c r="BB19" s="101"/>
    </row>
    <row r="20" ht="12.75" customHeight="1">
      <c r="A20" s="91" t="s">
        <v>58</v>
      </c>
      <c r="B20" s="92" t="s">
        <v>59</v>
      </c>
      <c r="C20" s="93" t="s">
        <v>60</v>
      </c>
      <c r="D20" s="94" t="str">
        <f>VLOOKUP(B20,'Матрица компетенций'!$A$4:$C$66,3,FALSE)</f>
        <v>УК-6</v>
      </c>
      <c r="E20" s="95"/>
      <c r="F20" s="95" t="s">
        <v>51</v>
      </c>
      <c r="G20" s="95"/>
      <c r="H20" s="95"/>
      <c r="I20" s="95"/>
      <c r="J20" s="95"/>
      <c r="K20" s="95"/>
      <c r="L20" s="97"/>
      <c r="M20" s="98">
        <v>2.0</v>
      </c>
      <c r="N20" s="99">
        <f t="shared" si="6"/>
        <v>72</v>
      </c>
      <c r="O20" s="100">
        <f t="shared" si="7"/>
        <v>72</v>
      </c>
      <c r="P20" s="100">
        <f t="shared" ref="P20:R20" si="10">U20+Y20+AD20+AH20+AM20+AQ20+AV20+AZ20</f>
        <v>2</v>
      </c>
      <c r="Q20" s="100">
        <f t="shared" si="10"/>
        <v>70</v>
      </c>
      <c r="R20" s="101">
        <f t="shared" si="10"/>
        <v>0</v>
      </c>
      <c r="S20" s="102">
        <v>2.0</v>
      </c>
      <c r="T20" s="103">
        <v>4.0</v>
      </c>
      <c r="U20" s="104">
        <v>2.0</v>
      </c>
      <c r="V20" s="104">
        <v>70.0</v>
      </c>
      <c r="W20" s="100"/>
      <c r="X20" s="103"/>
      <c r="Y20" s="100"/>
      <c r="Z20" s="100"/>
      <c r="AA20" s="105"/>
      <c r="AB20" s="106"/>
      <c r="AC20" s="103"/>
      <c r="AD20" s="100"/>
      <c r="AE20" s="100"/>
      <c r="AF20" s="100"/>
      <c r="AG20" s="103"/>
      <c r="AH20" s="100"/>
      <c r="AI20" s="100"/>
      <c r="AJ20" s="101"/>
      <c r="AK20" s="102"/>
      <c r="AL20" s="103"/>
      <c r="AM20" s="100"/>
      <c r="AN20" s="100"/>
      <c r="AO20" s="100"/>
      <c r="AP20" s="103"/>
      <c r="AQ20" s="100"/>
      <c r="AR20" s="100"/>
      <c r="AS20" s="105"/>
      <c r="AT20" s="106"/>
      <c r="AU20" s="103"/>
      <c r="AV20" s="100"/>
      <c r="AW20" s="100"/>
      <c r="AX20" s="100"/>
      <c r="AY20" s="103"/>
      <c r="AZ20" s="100"/>
      <c r="BA20" s="100"/>
      <c r="BB20" s="101"/>
    </row>
    <row r="21" ht="12.75" customHeight="1">
      <c r="A21" s="91" t="s">
        <v>61</v>
      </c>
      <c r="B21" s="92" t="s">
        <v>62</v>
      </c>
      <c r="C21" s="93" t="s">
        <v>63</v>
      </c>
      <c r="D21" s="94" t="str">
        <f>VLOOKUP(B21,'Матрица компетенций'!$A$4:$C$66,3,FALSE)</f>
        <v>УК-3</v>
      </c>
      <c r="E21" s="96" t="s">
        <v>64</v>
      </c>
      <c r="F21" s="96" t="s">
        <v>65</v>
      </c>
      <c r="G21" s="95"/>
      <c r="H21" s="95"/>
      <c r="I21" s="95"/>
      <c r="J21" s="114" t="s">
        <v>66</v>
      </c>
      <c r="K21" s="95"/>
      <c r="L21" s="97"/>
      <c r="M21" s="98">
        <f t="shared" ref="M21:M26" si="12">N21/36</f>
        <v>9</v>
      </c>
      <c r="N21" s="99">
        <f t="shared" si="6"/>
        <v>324</v>
      </c>
      <c r="O21" s="100">
        <f t="shared" si="7"/>
        <v>188</v>
      </c>
      <c r="P21" s="100">
        <f t="shared" ref="P21:R21" si="11">U21+Y21+AD21+AH21+AM21+AQ21+AV21+AZ21</f>
        <v>0</v>
      </c>
      <c r="Q21" s="100">
        <f t="shared" si="11"/>
        <v>188</v>
      </c>
      <c r="R21" s="101">
        <f t="shared" si="11"/>
        <v>136</v>
      </c>
      <c r="S21" s="102">
        <v>4.0</v>
      </c>
      <c r="T21" s="103">
        <v>3.0</v>
      </c>
      <c r="U21" s="100"/>
      <c r="V21" s="100">
        <v>52.0</v>
      </c>
      <c r="W21" s="100">
        <v>36.0</v>
      </c>
      <c r="X21" s="103">
        <v>2.0</v>
      </c>
      <c r="Y21" s="104"/>
      <c r="Z21" s="104">
        <v>34.0</v>
      </c>
      <c r="AA21" s="115">
        <v>22.0</v>
      </c>
      <c r="AB21" s="106">
        <v>5.0</v>
      </c>
      <c r="AC21" s="103">
        <v>2.0</v>
      </c>
      <c r="AD21" s="100"/>
      <c r="AE21" s="100">
        <v>34.0</v>
      </c>
      <c r="AF21" s="100">
        <v>38.0</v>
      </c>
      <c r="AG21" s="103">
        <v>4.0</v>
      </c>
      <c r="AH21" s="100"/>
      <c r="AI21" s="100">
        <v>68.0</v>
      </c>
      <c r="AJ21" s="101">
        <v>40.0</v>
      </c>
      <c r="AK21" s="102"/>
      <c r="AL21" s="103"/>
      <c r="AM21" s="100"/>
      <c r="AN21" s="100"/>
      <c r="AO21" s="100"/>
      <c r="AP21" s="103"/>
      <c r="AQ21" s="100"/>
      <c r="AR21" s="100"/>
      <c r="AS21" s="105"/>
      <c r="AT21" s="106"/>
      <c r="AU21" s="103"/>
      <c r="AV21" s="100"/>
      <c r="AW21" s="100"/>
      <c r="AX21" s="100"/>
      <c r="AY21" s="103"/>
      <c r="AZ21" s="100"/>
      <c r="BA21" s="100"/>
      <c r="BB21" s="101"/>
    </row>
    <row r="22" ht="20.25" customHeight="1">
      <c r="A22" s="91"/>
      <c r="B22" s="92" t="s">
        <v>67</v>
      </c>
      <c r="C22" s="93" t="s">
        <v>63</v>
      </c>
      <c r="D22" s="94" t="str">
        <f>VLOOKUP(B22,'Матрица компетенций'!$A$4:$C$66,3,FALSE)</f>
        <v>УК-2, УК-3</v>
      </c>
      <c r="E22" s="95" t="s">
        <v>68</v>
      </c>
      <c r="F22" s="95" t="s">
        <v>69</v>
      </c>
      <c r="G22" s="95"/>
      <c r="H22" s="95"/>
      <c r="I22" s="95"/>
      <c r="J22" s="95" t="s">
        <v>70</v>
      </c>
      <c r="K22" s="95"/>
      <c r="L22" s="97"/>
      <c r="M22" s="98">
        <f t="shared" si="12"/>
        <v>5</v>
      </c>
      <c r="N22" s="99">
        <f t="shared" si="6"/>
        <v>180</v>
      </c>
      <c r="O22" s="100">
        <f t="shared" si="7"/>
        <v>68</v>
      </c>
      <c r="P22" s="100">
        <f t="shared" ref="P22:R22" si="13">U22+Y22+AD22+AH22+AM22+AQ22+AV22+AZ22</f>
        <v>0</v>
      </c>
      <c r="Q22" s="100">
        <f t="shared" si="13"/>
        <v>68</v>
      </c>
      <c r="R22" s="101">
        <f t="shared" si="13"/>
        <v>112</v>
      </c>
      <c r="S22" s="102"/>
      <c r="T22" s="103"/>
      <c r="U22" s="104"/>
      <c r="V22" s="104"/>
      <c r="W22" s="100"/>
      <c r="X22" s="103"/>
      <c r="Y22" s="100"/>
      <c r="Z22" s="100"/>
      <c r="AA22" s="105"/>
      <c r="AB22" s="106"/>
      <c r="AC22" s="103"/>
      <c r="AD22" s="100"/>
      <c r="AE22" s="100"/>
      <c r="AF22" s="100"/>
      <c r="AG22" s="103"/>
      <c r="AH22" s="100"/>
      <c r="AI22" s="100"/>
      <c r="AJ22" s="101"/>
      <c r="AK22" s="102">
        <v>5.0</v>
      </c>
      <c r="AL22" s="103">
        <v>2.0</v>
      </c>
      <c r="AM22" s="100"/>
      <c r="AN22" s="100">
        <v>34.0</v>
      </c>
      <c r="AO22" s="100">
        <v>38.0</v>
      </c>
      <c r="AP22" s="103">
        <v>2.0</v>
      </c>
      <c r="AQ22" s="100"/>
      <c r="AR22" s="100">
        <v>34.0</v>
      </c>
      <c r="AS22" s="105">
        <v>74.0</v>
      </c>
      <c r="AT22" s="106"/>
      <c r="AU22" s="103"/>
      <c r="AV22" s="100"/>
      <c r="AW22" s="100"/>
      <c r="AX22" s="100"/>
      <c r="AY22" s="103"/>
      <c r="AZ22" s="100"/>
      <c r="BA22" s="100"/>
      <c r="BB22" s="101"/>
    </row>
    <row r="23" ht="12.75" customHeight="1">
      <c r="A23" s="91" t="s">
        <v>71</v>
      </c>
      <c r="B23" s="92" t="s">
        <v>72</v>
      </c>
      <c r="C23" s="93" t="s">
        <v>54</v>
      </c>
      <c r="D23" s="94" t="str">
        <f>VLOOKUP(B23,'Матрица компетенций'!$A$4:$C$66,3,FALSE)</f>
        <v>УК-1, УК-9</v>
      </c>
      <c r="E23" s="96" t="s">
        <v>69</v>
      </c>
      <c r="F23" s="95"/>
      <c r="G23" s="95"/>
      <c r="H23" s="95"/>
      <c r="I23" s="95"/>
      <c r="J23" s="95"/>
      <c r="K23" s="96" t="s">
        <v>69</v>
      </c>
      <c r="L23" s="97"/>
      <c r="M23" s="98">
        <f t="shared" si="12"/>
        <v>4</v>
      </c>
      <c r="N23" s="99">
        <f t="shared" si="6"/>
        <v>144</v>
      </c>
      <c r="O23" s="100">
        <f t="shared" si="7"/>
        <v>68</v>
      </c>
      <c r="P23" s="100">
        <f t="shared" ref="P23:R23" si="14">U23+Y23+AD23+AH23+AM23+AQ23+AV23+AZ23</f>
        <v>34</v>
      </c>
      <c r="Q23" s="100">
        <f t="shared" si="14"/>
        <v>34</v>
      </c>
      <c r="R23" s="101">
        <f t="shared" si="14"/>
        <v>76</v>
      </c>
      <c r="S23" s="102"/>
      <c r="T23" s="99"/>
      <c r="U23" s="100"/>
      <c r="V23" s="100"/>
      <c r="W23" s="100"/>
      <c r="X23" s="103"/>
      <c r="Y23" s="104"/>
      <c r="Z23" s="104"/>
      <c r="AA23" s="115"/>
      <c r="AB23" s="106"/>
      <c r="AC23" s="103"/>
      <c r="AD23" s="100"/>
      <c r="AE23" s="100"/>
      <c r="AF23" s="100"/>
      <c r="AG23" s="103"/>
      <c r="AH23" s="100"/>
      <c r="AI23" s="100"/>
      <c r="AJ23" s="101"/>
      <c r="AK23" s="102">
        <v>4.0</v>
      </c>
      <c r="AL23" s="103">
        <v>4.0</v>
      </c>
      <c r="AM23" s="100">
        <v>34.0</v>
      </c>
      <c r="AN23" s="100">
        <v>34.0</v>
      </c>
      <c r="AO23" s="100">
        <v>76.0</v>
      </c>
      <c r="AP23" s="103"/>
      <c r="AQ23" s="100"/>
      <c r="AR23" s="100"/>
      <c r="AS23" s="105"/>
      <c r="AT23" s="106"/>
      <c r="AU23" s="103"/>
      <c r="AV23" s="100"/>
      <c r="AW23" s="100"/>
      <c r="AX23" s="100"/>
      <c r="AY23" s="103"/>
      <c r="AZ23" s="100"/>
      <c r="BA23" s="100"/>
      <c r="BB23" s="101"/>
    </row>
    <row r="24" ht="12.75" customHeight="1">
      <c r="A24" s="91" t="s">
        <v>73</v>
      </c>
      <c r="B24" s="92" t="s">
        <v>74</v>
      </c>
      <c r="C24" s="93" t="s">
        <v>75</v>
      </c>
      <c r="D24" s="94" t="str">
        <f>VLOOKUP(B24,'Матрица компетенций'!$A$4:$C$66,3,FALSE)</f>
        <v>УК-5, УК-14</v>
      </c>
      <c r="E24" s="96" t="s">
        <v>69</v>
      </c>
      <c r="F24" s="95"/>
      <c r="G24" s="95"/>
      <c r="H24" s="95"/>
      <c r="I24" s="95"/>
      <c r="J24" s="95" t="s">
        <v>69</v>
      </c>
      <c r="K24" s="96"/>
      <c r="L24" s="97"/>
      <c r="M24" s="98">
        <f t="shared" si="12"/>
        <v>4</v>
      </c>
      <c r="N24" s="99">
        <f t="shared" si="6"/>
        <v>144</v>
      </c>
      <c r="O24" s="100">
        <f t="shared" si="7"/>
        <v>50</v>
      </c>
      <c r="P24" s="100">
        <f t="shared" ref="P24:R24" si="15">U24+Y24+AD24+AH24+AM24+AQ24+AV24+AZ24</f>
        <v>16</v>
      </c>
      <c r="Q24" s="100">
        <f t="shared" si="15"/>
        <v>34</v>
      </c>
      <c r="R24" s="101">
        <f t="shared" si="15"/>
        <v>94</v>
      </c>
      <c r="S24" s="102"/>
      <c r="T24" s="99"/>
      <c r="U24" s="100"/>
      <c r="V24" s="100"/>
      <c r="W24" s="100"/>
      <c r="X24" s="103"/>
      <c r="Y24" s="104"/>
      <c r="Z24" s="104"/>
      <c r="AA24" s="115"/>
      <c r="AB24" s="106"/>
      <c r="AC24" s="103"/>
      <c r="AD24" s="100"/>
      <c r="AE24" s="100"/>
      <c r="AF24" s="100"/>
      <c r="AG24" s="103"/>
      <c r="AH24" s="100"/>
      <c r="AI24" s="100"/>
      <c r="AJ24" s="101"/>
      <c r="AK24" s="102">
        <v>4.0</v>
      </c>
      <c r="AL24" s="103">
        <v>3.0</v>
      </c>
      <c r="AM24" s="112">
        <v>16.0</v>
      </c>
      <c r="AN24" s="112">
        <v>34.0</v>
      </c>
      <c r="AO24" s="100">
        <v>94.0</v>
      </c>
      <c r="AP24" s="103"/>
      <c r="AQ24" s="104"/>
      <c r="AR24" s="104"/>
      <c r="AS24" s="115"/>
      <c r="AT24" s="106"/>
      <c r="AU24" s="103"/>
      <c r="AV24" s="100"/>
      <c r="AW24" s="100"/>
      <c r="AX24" s="100"/>
      <c r="AY24" s="103"/>
      <c r="AZ24" s="100"/>
      <c r="BA24" s="100"/>
      <c r="BB24" s="101"/>
    </row>
    <row r="25" ht="12.75" customHeight="1">
      <c r="A25" s="91"/>
      <c r="B25" s="92" t="s">
        <v>76</v>
      </c>
      <c r="C25" s="116" t="s">
        <v>77</v>
      </c>
      <c r="D25" s="94" t="str">
        <f>VLOOKUP(B25,'Матрица компетенций'!$A$4:$C$66,3,FALSE)</f>
        <v>УК-13</v>
      </c>
      <c r="E25" s="96"/>
      <c r="F25" s="95" t="s">
        <v>51</v>
      </c>
      <c r="G25" s="95"/>
      <c r="H25" s="95"/>
      <c r="I25" s="95"/>
      <c r="J25" s="96" t="s">
        <v>51</v>
      </c>
      <c r="K25" s="95"/>
      <c r="L25" s="97"/>
      <c r="M25" s="98">
        <f t="shared" si="12"/>
        <v>4</v>
      </c>
      <c r="N25" s="99">
        <f t="shared" si="6"/>
        <v>144</v>
      </c>
      <c r="O25" s="100">
        <f t="shared" si="7"/>
        <v>34</v>
      </c>
      <c r="P25" s="100">
        <f t="shared" ref="P25:R25" si="16">U25+Y25+AD25+AH25+AM25+AQ25+AV25+AZ25</f>
        <v>16</v>
      </c>
      <c r="Q25" s="100">
        <f t="shared" si="16"/>
        <v>18</v>
      </c>
      <c r="R25" s="101">
        <f t="shared" si="16"/>
        <v>110</v>
      </c>
      <c r="S25" s="102">
        <v>4.0</v>
      </c>
      <c r="T25" s="99">
        <v>2.0</v>
      </c>
      <c r="U25" s="100">
        <v>16.0</v>
      </c>
      <c r="V25" s="100">
        <v>18.0</v>
      </c>
      <c r="W25" s="100">
        <v>110.0</v>
      </c>
      <c r="X25" s="103"/>
      <c r="Y25" s="104"/>
      <c r="Z25" s="104"/>
      <c r="AA25" s="115"/>
      <c r="AB25" s="106"/>
      <c r="AC25" s="103"/>
      <c r="AD25" s="100"/>
      <c r="AE25" s="100"/>
      <c r="AF25" s="100"/>
      <c r="AG25" s="103"/>
      <c r="AH25" s="100"/>
      <c r="AI25" s="100"/>
      <c r="AJ25" s="101"/>
      <c r="AK25" s="102"/>
      <c r="AL25" s="103"/>
      <c r="AM25" s="104"/>
      <c r="AN25" s="104"/>
      <c r="AO25" s="100"/>
      <c r="AP25" s="103"/>
      <c r="AQ25" s="104"/>
      <c r="AR25" s="104"/>
      <c r="AS25" s="115"/>
      <c r="AT25" s="106"/>
      <c r="AU25" s="103"/>
      <c r="AV25" s="100"/>
      <c r="AW25" s="100"/>
      <c r="AX25" s="100"/>
      <c r="AY25" s="103"/>
      <c r="AZ25" s="100"/>
      <c r="BA25" s="100"/>
      <c r="BB25" s="101"/>
    </row>
    <row r="26" ht="12.75" customHeight="1">
      <c r="A26" s="91"/>
      <c r="B26" s="92" t="s">
        <v>78</v>
      </c>
      <c r="C26" s="93" t="s">
        <v>79</v>
      </c>
      <c r="D26" s="94" t="str">
        <f>VLOOKUP(B26,'Матрица компетенций'!$A$4:$C$66,3,FALSE)</f>
        <v>УК-2, УК-3, УК-11</v>
      </c>
      <c r="E26" s="95"/>
      <c r="F26" s="95" t="s">
        <v>80</v>
      </c>
      <c r="G26" s="95"/>
      <c r="H26" s="95"/>
      <c r="I26" s="95"/>
      <c r="J26" s="95" t="s">
        <v>80</v>
      </c>
      <c r="K26" s="95"/>
      <c r="L26" s="97"/>
      <c r="M26" s="98">
        <f t="shared" si="12"/>
        <v>3</v>
      </c>
      <c r="N26" s="99">
        <f t="shared" si="6"/>
        <v>108</v>
      </c>
      <c r="O26" s="100">
        <f t="shared" si="7"/>
        <v>34</v>
      </c>
      <c r="P26" s="100">
        <f t="shared" ref="P26:R26" si="17">U26+Y26+AD26+AH26+AM26+AQ26+AV26+AZ26</f>
        <v>0</v>
      </c>
      <c r="Q26" s="100">
        <f t="shared" si="17"/>
        <v>34</v>
      </c>
      <c r="R26" s="101">
        <f t="shared" si="17"/>
        <v>74</v>
      </c>
      <c r="S26" s="102"/>
      <c r="T26" s="103"/>
      <c r="U26" s="104"/>
      <c r="V26" s="104"/>
      <c r="W26" s="100"/>
      <c r="X26" s="103"/>
      <c r="Y26" s="100"/>
      <c r="Z26" s="100"/>
      <c r="AA26" s="105"/>
      <c r="AB26" s="106"/>
      <c r="AC26" s="103"/>
      <c r="AD26" s="100"/>
      <c r="AE26" s="100"/>
      <c r="AF26" s="100"/>
      <c r="AG26" s="103"/>
      <c r="AH26" s="100"/>
      <c r="AI26" s="100"/>
      <c r="AJ26" s="101"/>
      <c r="AK26" s="102"/>
      <c r="AL26" s="103"/>
      <c r="AM26" s="100"/>
      <c r="AN26" s="100"/>
      <c r="AO26" s="100"/>
      <c r="AP26" s="103"/>
      <c r="AQ26" s="100"/>
      <c r="AR26" s="100"/>
      <c r="AS26" s="105"/>
      <c r="AT26" s="106">
        <v>3.0</v>
      </c>
      <c r="AU26" s="103">
        <v>2.0</v>
      </c>
      <c r="AV26" s="100"/>
      <c r="AW26" s="100">
        <v>34.0</v>
      </c>
      <c r="AX26" s="100">
        <v>74.0</v>
      </c>
      <c r="AY26" s="103"/>
      <c r="AZ26" s="100"/>
      <c r="BA26" s="100"/>
      <c r="BB26" s="101"/>
    </row>
    <row r="27" ht="12.75" customHeight="1">
      <c r="A27" s="78" t="s">
        <v>81</v>
      </c>
      <c r="B27" s="79" t="s">
        <v>82</v>
      </c>
      <c r="C27" s="80"/>
      <c r="D27" s="81"/>
      <c r="E27" s="82"/>
      <c r="F27" s="82"/>
      <c r="G27" s="83"/>
      <c r="H27" s="82"/>
      <c r="I27" s="83"/>
      <c r="J27" s="82"/>
      <c r="K27" s="83"/>
      <c r="L27" s="117"/>
      <c r="M27" s="118">
        <f t="shared" ref="M27:BB27" si="18">SUM(M28:M33)</f>
        <v>28</v>
      </c>
      <c r="N27" s="86">
        <f t="shared" si="18"/>
        <v>1008</v>
      </c>
      <c r="O27" s="86">
        <f t="shared" si="18"/>
        <v>356</v>
      </c>
      <c r="P27" s="86">
        <f t="shared" si="18"/>
        <v>116</v>
      </c>
      <c r="Q27" s="86">
        <f t="shared" si="18"/>
        <v>240</v>
      </c>
      <c r="R27" s="87">
        <f t="shared" si="18"/>
        <v>652</v>
      </c>
      <c r="S27" s="119">
        <f t="shared" si="18"/>
        <v>13</v>
      </c>
      <c r="T27" s="86">
        <f t="shared" si="18"/>
        <v>4</v>
      </c>
      <c r="U27" s="86">
        <f t="shared" si="18"/>
        <v>20</v>
      </c>
      <c r="V27" s="86">
        <f t="shared" si="18"/>
        <v>36</v>
      </c>
      <c r="W27" s="86">
        <f t="shared" si="18"/>
        <v>124</v>
      </c>
      <c r="X27" s="86">
        <f t="shared" si="18"/>
        <v>6</v>
      </c>
      <c r="Y27" s="86">
        <f t="shared" si="18"/>
        <v>32</v>
      </c>
      <c r="Z27" s="86">
        <f t="shared" si="18"/>
        <v>68</v>
      </c>
      <c r="AA27" s="90">
        <f t="shared" si="18"/>
        <v>188</v>
      </c>
      <c r="AB27" s="118">
        <f t="shared" si="18"/>
        <v>15</v>
      </c>
      <c r="AC27" s="86">
        <f t="shared" si="18"/>
        <v>6</v>
      </c>
      <c r="AD27" s="86">
        <f t="shared" si="18"/>
        <v>32</v>
      </c>
      <c r="AE27" s="86">
        <f t="shared" si="18"/>
        <v>68</v>
      </c>
      <c r="AF27" s="86">
        <f t="shared" si="18"/>
        <v>224</v>
      </c>
      <c r="AG27" s="86">
        <f t="shared" si="18"/>
        <v>6</v>
      </c>
      <c r="AH27" s="86">
        <f t="shared" si="18"/>
        <v>32</v>
      </c>
      <c r="AI27" s="86">
        <f t="shared" si="18"/>
        <v>68</v>
      </c>
      <c r="AJ27" s="87">
        <f t="shared" si="18"/>
        <v>116</v>
      </c>
      <c r="AK27" s="119">
        <f t="shared" si="18"/>
        <v>0</v>
      </c>
      <c r="AL27" s="86">
        <f t="shared" si="18"/>
        <v>0</v>
      </c>
      <c r="AM27" s="86">
        <f t="shared" si="18"/>
        <v>0</v>
      </c>
      <c r="AN27" s="86">
        <f t="shared" si="18"/>
        <v>0</v>
      </c>
      <c r="AO27" s="86">
        <f t="shared" si="18"/>
        <v>0</v>
      </c>
      <c r="AP27" s="86">
        <f t="shared" si="18"/>
        <v>0</v>
      </c>
      <c r="AQ27" s="86">
        <f t="shared" si="18"/>
        <v>0</v>
      </c>
      <c r="AR27" s="86">
        <f t="shared" si="18"/>
        <v>0</v>
      </c>
      <c r="AS27" s="90">
        <f t="shared" si="18"/>
        <v>0</v>
      </c>
      <c r="AT27" s="118">
        <f t="shared" si="18"/>
        <v>0</v>
      </c>
      <c r="AU27" s="86">
        <f t="shared" si="18"/>
        <v>0</v>
      </c>
      <c r="AV27" s="86">
        <f t="shared" si="18"/>
        <v>0</v>
      </c>
      <c r="AW27" s="86">
        <f t="shared" si="18"/>
        <v>0</v>
      </c>
      <c r="AX27" s="86">
        <f t="shared" si="18"/>
        <v>0</v>
      </c>
      <c r="AY27" s="86">
        <f t="shared" si="18"/>
        <v>0</v>
      </c>
      <c r="AZ27" s="86">
        <f t="shared" si="18"/>
        <v>0</v>
      </c>
      <c r="BA27" s="86">
        <f t="shared" si="18"/>
        <v>0</v>
      </c>
      <c r="BB27" s="87">
        <f t="shared" si="18"/>
        <v>0</v>
      </c>
    </row>
    <row r="28" ht="12.75" customHeight="1">
      <c r="A28" s="91" t="s">
        <v>83</v>
      </c>
      <c r="B28" s="92" t="s">
        <v>84</v>
      </c>
      <c r="C28" s="93" t="s">
        <v>50</v>
      </c>
      <c r="D28" s="94" t="str">
        <f>VLOOKUP(B28,'Матрица компетенций'!$A$4:$C$66,3,FALSE)</f>
        <v>УК-8, ПКН-3, ПКН-6</v>
      </c>
      <c r="E28" s="96"/>
      <c r="F28" s="95" t="s">
        <v>51</v>
      </c>
      <c r="G28" s="95"/>
      <c r="H28" s="95"/>
      <c r="I28" s="95"/>
      <c r="J28" s="95"/>
      <c r="K28" s="95"/>
      <c r="L28" s="110"/>
      <c r="M28" s="98">
        <f t="shared" ref="M28:M33" si="20">N28/36</f>
        <v>1</v>
      </c>
      <c r="N28" s="99">
        <f t="shared" ref="N28:N33" si="21">O28+R28</f>
        <v>36</v>
      </c>
      <c r="O28" s="100">
        <f t="shared" ref="O28:O33" si="22">P28+Q28</f>
        <v>6</v>
      </c>
      <c r="P28" s="100">
        <f t="shared" ref="P28:R28" si="19">U28+Y28+AD28+AH28+AM28+AQ28+AV28+AZ28</f>
        <v>4</v>
      </c>
      <c r="Q28" s="100">
        <f t="shared" si="19"/>
        <v>2</v>
      </c>
      <c r="R28" s="101">
        <f t="shared" si="19"/>
        <v>30</v>
      </c>
      <c r="S28" s="102">
        <v>1.0</v>
      </c>
      <c r="T28" s="103">
        <v>1.0</v>
      </c>
      <c r="U28" s="100">
        <v>4.0</v>
      </c>
      <c r="V28" s="100">
        <v>2.0</v>
      </c>
      <c r="W28" s="100">
        <v>30.0</v>
      </c>
      <c r="X28" s="103"/>
      <c r="Y28" s="100"/>
      <c r="Z28" s="100"/>
      <c r="AA28" s="105"/>
      <c r="AB28" s="106"/>
      <c r="AC28" s="103"/>
      <c r="AD28" s="104"/>
      <c r="AE28" s="104"/>
      <c r="AF28" s="104"/>
      <c r="AG28" s="103"/>
      <c r="AH28" s="104"/>
      <c r="AI28" s="104"/>
      <c r="AJ28" s="120"/>
      <c r="AK28" s="102"/>
      <c r="AL28" s="103"/>
      <c r="AM28" s="100"/>
      <c r="AN28" s="100"/>
      <c r="AO28" s="100"/>
      <c r="AP28" s="103"/>
      <c r="AQ28" s="100"/>
      <c r="AR28" s="100"/>
      <c r="AS28" s="105"/>
      <c r="AT28" s="106"/>
      <c r="AU28" s="103"/>
      <c r="AV28" s="100"/>
      <c r="AW28" s="100"/>
      <c r="AX28" s="100"/>
      <c r="AY28" s="103"/>
      <c r="AZ28" s="100"/>
      <c r="BA28" s="100"/>
      <c r="BB28" s="101"/>
    </row>
    <row r="29" ht="21.75" customHeight="1">
      <c r="A29" s="91" t="s">
        <v>85</v>
      </c>
      <c r="B29" s="92" t="s">
        <v>86</v>
      </c>
      <c r="C29" s="93" t="s">
        <v>50</v>
      </c>
      <c r="D29" s="94" t="str">
        <f>VLOOKUP(B29,'Матрица компетенций'!$A$4:$C$66,3,FALSE)</f>
        <v>ПКН-1, ПКН-2</v>
      </c>
      <c r="E29" s="95" t="s">
        <v>87</v>
      </c>
      <c r="F29" s="114" t="s">
        <v>88</v>
      </c>
      <c r="G29" s="95"/>
      <c r="H29" s="95"/>
      <c r="I29" s="95"/>
      <c r="J29" s="114" t="s">
        <v>89</v>
      </c>
      <c r="K29" s="95"/>
      <c r="L29" s="97"/>
      <c r="M29" s="98">
        <f t="shared" si="20"/>
        <v>9</v>
      </c>
      <c r="N29" s="121">
        <f t="shared" si="21"/>
        <v>324</v>
      </c>
      <c r="O29" s="100">
        <f t="shared" si="22"/>
        <v>100</v>
      </c>
      <c r="P29" s="100">
        <f t="shared" ref="P29:R29" si="23">U29+Y29+AD29+AH29+AM29+AQ29+AV29+AZ29</f>
        <v>32</v>
      </c>
      <c r="Q29" s="100">
        <f t="shared" si="23"/>
        <v>68</v>
      </c>
      <c r="R29" s="101">
        <f t="shared" si="23"/>
        <v>224</v>
      </c>
      <c r="S29" s="102">
        <v>4.0</v>
      </c>
      <c r="T29" s="103"/>
      <c r="U29" s="100"/>
      <c r="V29" s="104"/>
      <c r="W29" s="104"/>
      <c r="X29" s="103">
        <v>3.0</v>
      </c>
      <c r="Y29" s="100">
        <v>16.0</v>
      </c>
      <c r="Z29" s="100">
        <v>34.0</v>
      </c>
      <c r="AA29" s="105">
        <v>94.0</v>
      </c>
      <c r="AB29" s="106">
        <v>5.0</v>
      </c>
      <c r="AC29" s="103">
        <v>3.0</v>
      </c>
      <c r="AD29" s="100">
        <v>16.0</v>
      </c>
      <c r="AE29" s="100">
        <v>34.0</v>
      </c>
      <c r="AF29" s="100">
        <v>130.0</v>
      </c>
      <c r="AG29" s="103"/>
      <c r="AH29" s="100"/>
      <c r="AI29" s="100"/>
      <c r="AJ29" s="101"/>
      <c r="AK29" s="102"/>
      <c r="AL29" s="103"/>
      <c r="AM29" s="100"/>
      <c r="AN29" s="100"/>
      <c r="AO29" s="100"/>
      <c r="AP29" s="103"/>
      <c r="AQ29" s="100"/>
      <c r="AR29" s="100"/>
      <c r="AS29" s="105"/>
      <c r="AT29" s="106"/>
      <c r="AU29" s="103"/>
      <c r="AV29" s="100"/>
      <c r="AW29" s="100"/>
      <c r="AX29" s="100"/>
      <c r="AY29" s="103"/>
      <c r="AZ29" s="100"/>
      <c r="BA29" s="100"/>
      <c r="BB29" s="101"/>
    </row>
    <row r="30" ht="21.75" customHeight="1">
      <c r="A30" s="91"/>
      <c r="B30" s="92" t="s">
        <v>90</v>
      </c>
      <c r="C30" s="93" t="s">
        <v>50</v>
      </c>
      <c r="D30" s="94" t="str">
        <f>VLOOKUP(B30,'Матрица компетенций'!$A$4:$C$66,3,FALSE)</f>
        <v>УК-12</v>
      </c>
      <c r="E30" s="96"/>
      <c r="F30" s="95" t="s">
        <v>87</v>
      </c>
      <c r="G30" s="95"/>
      <c r="H30" s="95"/>
      <c r="I30" s="95"/>
      <c r="J30" s="96" t="s">
        <v>87</v>
      </c>
      <c r="K30" s="95"/>
      <c r="L30" s="97"/>
      <c r="M30" s="98">
        <f t="shared" si="20"/>
        <v>4</v>
      </c>
      <c r="N30" s="121">
        <f t="shared" si="21"/>
        <v>144</v>
      </c>
      <c r="O30" s="100">
        <f t="shared" si="22"/>
        <v>50</v>
      </c>
      <c r="P30" s="100">
        <f t="shared" ref="P30:R30" si="24">U30+Y30+AD30+AH30+AM30+AQ30+AV30+AZ30</f>
        <v>16</v>
      </c>
      <c r="Q30" s="100">
        <f t="shared" si="24"/>
        <v>34</v>
      </c>
      <c r="R30" s="101">
        <f t="shared" si="24"/>
        <v>94</v>
      </c>
      <c r="S30" s="102"/>
      <c r="T30" s="103"/>
      <c r="U30" s="100"/>
      <c r="V30" s="100"/>
      <c r="W30" s="100"/>
      <c r="X30" s="103"/>
      <c r="Y30" s="100"/>
      <c r="Z30" s="100"/>
      <c r="AA30" s="105"/>
      <c r="AB30" s="106">
        <v>4.0</v>
      </c>
      <c r="AC30" s="103">
        <v>3.0</v>
      </c>
      <c r="AD30" s="100">
        <v>16.0</v>
      </c>
      <c r="AE30" s="100">
        <v>34.0</v>
      </c>
      <c r="AF30" s="100">
        <v>94.0</v>
      </c>
      <c r="AG30" s="103"/>
      <c r="AH30" s="100"/>
      <c r="AI30" s="100"/>
      <c r="AJ30" s="101"/>
      <c r="AK30" s="102"/>
      <c r="AL30" s="103"/>
      <c r="AM30" s="100"/>
      <c r="AN30" s="100"/>
      <c r="AO30" s="100"/>
      <c r="AP30" s="103"/>
      <c r="AQ30" s="100"/>
      <c r="AR30" s="100"/>
      <c r="AS30" s="105"/>
      <c r="AT30" s="106"/>
      <c r="AU30" s="103"/>
      <c r="AV30" s="100"/>
      <c r="AW30" s="100"/>
      <c r="AX30" s="100"/>
      <c r="AY30" s="103"/>
      <c r="AZ30" s="100"/>
      <c r="BA30" s="100"/>
      <c r="BB30" s="101"/>
    </row>
    <row r="31" ht="21.75" customHeight="1">
      <c r="A31" s="91"/>
      <c r="B31" s="122" t="s">
        <v>91</v>
      </c>
      <c r="C31" s="93" t="s">
        <v>50</v>
      </c>
      <c r="D31" s="94" t="str">
        <f>VLOOKUP(B31,'Матрица компетенций'!$A$4:$C$66,3,FALSE)</f>
        <v>УК-4</v>
      </c>
      <c r="E31" s="96"/>
      <c r="F31" s="95" t="s">
        <v>64</v>
      </c>
      <c r="G31" s="95"/>
      <c r="H31" s="96"/>
      <c r="I31" s="95"/>
      <c r="J31" s="95" t="s">
        <v>64</v>
      </c>
      <c r="K31" s="95"/>
      <c r="L31" s="97"/>
      <c r="M31" s="98">
        <f t="shared" si="20"/>
        <v>3</v>
      </c>
      <c r="N31" s="99">
        <f t="shared" si="21"/>
        <v>108</v>
      </c>
      <c r="O31" s="100">
        <f t="shared" si="22"/>
        <v>50</v>
      </c>
      <c r="P31" s="100">
        <f t="shared" ref="P31:R31" si="25">U31+Y31+AD31+AH31+AM31+AQ31+AV31+AZ31</f>
        <v>16</v>
      </c>
      <c r="Q31" s="100">
        <f t="shared" si="25"/>
        <v>34</v>
      </c>
      <c r="R31" s="101">
        <f t="shared" si="25"/>
        <v>58</v>
      </c>
      <c r="S31" s="123"/>
      <c r="T31" s="99"/>
      <c r="U31" s="100"/>
      <c r="V31" s="100"/>
      <c r="W31" s="100"/>
      <c r="X31" s="99"/>
      <c r="Y31" s="100"/>
      <c r="Z31" s="100"/>
      <c r="AA31" s="105"/>
      <c r="AB31" s="106">
        <v>3.0</v>
      </c>
      <c r="AC31" s="103"/>
      <c r="AD31" s="100"/>
      <c r="AE31" s="100"/>
      <c r="AF31" s="100"/>
      <c r="AG31" s="103">
        <v>3.0</v>
      </c>
      <c r="AH31" s="100">
        <v>16.0</v>
      </c>
      <c r="AI31" s="100">
        <v>34.0</v>
      </c>
      <c r="AJ31" s="101">
        <v>58.0</v>
      </c>
      <c r="AK31" s="102"/>
      <c r="AL31" s="103"/>
      <c r="AM31" s="100"/>
      <c r="AN31" s="100"/>
      <c r="AO31" s="100"/>
      <c r="AP31" s="103"/>
      <c r="AQ31" s="100"/>
      <c r="AR31" s="100"/>
      <c r="AS31" s="105"/>
      <c r="AT31" s="106"/>
      <c r="AU31" s="103"/>
      <c r="AV31" s="100"/>
      <c r="AW31" s="100"/>
      <c r="AX31" s="100"/>
      <c r="AY31" s="103"/>
      <c r="AZ31" s="100"/>
      <c r="BA31" s="100"/>
      <c r="BB31" s="101"/>
    </row>
    <row r="32" ht="24.0" customHeight="1">
      <c r="A32" s="91"/>
      <c r="B32" s="92" t="s">
        <v>92</v>
      </c>
      <c r="C32" s="93" t="s">
        <v>93</v>
      </c>
      <c r="D32" s="94" t="str">
        <f>VLOOKUP(B32,'Матрица компетенций'!$A$4:$C$66,3,FALSE)</f>
        <v>УК-13, ПКН-1</v>
      </c>
      <c r="E32" s="96"/>
      <c r="F32" s="95" t="s">
        <v>64</v>
      </c>
      <c r="G32" s="95"/>
      <c r="H32" s="95"/>
      <c r="I32" s="95"/>
      <c r="J32" s="96" t="s">
        <v>64</v>
      </c>
      <c r="K32" s="95"/>
      <c r="L32" s="97"/>
      <c r="M32" s="98">
        <f t="shared" si="20"/>
        <v>3</v>
      </c>
      <c r="N32" s="121">
        <f t="shared" si="21"/>
        <v>108</v>
      </c>
      <c r="O32" s="100">
        <f t="shared" si="22"/>
        <v>50</v>
      </c>
      <c r="P32" s="100">
        <f t="shared" ref="P32:R32" si="26">U32+Y32+AD32+AH32+AM32+AQ32+AV32+AZ32</f>
        <v>16</v>
      </c>
      <c r="Q32" s="100">
        <f t="shared" si="26"/>
        <v>34</v>
      </c>
      <c r="R32" s="101">
        <f t="shared" si="26"/>
        <v>58</v>
      </c>
      <c r="S32" s="102"/>
      <c r="T32" s="103"/>
      <c r="U32" s="100"/>
      <c r="V32" s="100"/>
      <c r="W32" s="100"/>
      <c r="X32" s="103"/>
      <c r="Y32" s="100"/>
      <c r="Z32" s="100"/>
      <c r="AA32" s="105"/>
      <c r="AB32" s="106">
        <v>3.0</v>
      </c>
      <c r="AC32" s="103"/>
      <c r="AD32" s="100"/>
      <c r="AE32" s="100"/>
      <c r="AF32" s="100"/>
      <c r="AG32" s="103">
        <v>3.0</v>
      </c>
      <c r="AH32" s="100">
        <v>16.0</v>
      </c>
      <c r="AI32" s="100">
        <v>34.0</v>
      </c>
      <c r="AJ32" s="101">
        <v>58.0</v>
      </c>
      <c r="AK32" s="102"/>
      <c r="AL32" s="103"/>
      <c r="AM32" s="104"/>
      <c r="AN32" s="104"/>
      <c r="AO32" s="104"/>
      <c r="AP32" s="103"/>
      <c r="AQ32" s="100"/>
      <c r="AR32" s="100"/>
      <c r="AS32" s="105"/>
      <c r="AT32" s="106"/>
      <c r="AU32" s="103"/>
      <c r="AV32" s="100"/>
      <c r="AW32" s="100"/>
      <c r="AX32" s="100"/>
      <c r="AY32" s="103"/>
      <c r="AZ32" s="100"/>
      <c r="BA32" s="100"/>
      <c r="BB32" s="101"/>
    </row>
    <row r="33" ht="12.75" customHeight="1">
      <c r="A33" s="91" t="s">
        <v>94</v>
      </c>
      <c r="B33" s="92" t="s">
        <v>95</v>
      </c>
      <c r="C33" s="93" t="s">
        <v>50</v>
      </c>
      <c r="D33" s="94" t="str">
        <f>VLOOKUP(B33,'Матрица компетенций'!$A$4:$C$66,3,FALSE)</f>
        <v>ПКН-1</v>
      </c>
      <c r="E33" s="96" t="s">
        <v>88</v>
      </c>
      <c r="F33" s="96" t="s">
        <v>51</v>
      </c>
      <c r="G33" s="95"/>
      <c r="H33" s="96"/>
      <c r="I33" s="95"/>
      <c r="J33" s="96" t="s">
        <v>96</v>
      </c>
      <c r="K33" s="95"/>
      <c r="L33" s="97"/>
      <c r="M33" s="98">
        <f t="shared" si="20"/>
        <v>8</v>
      </c>
      <c r="N33" s="121">
        <f t="shared" si="21"/>
        <v>288</v>
      </c>
      <c r="O33" s="100">
        <f t="shared" si="22"/>
        <v>100</v>
      </c>
      <c r="P33" s="100">
        <f t="shared" ref="P33:R33" si="27">U33+Y33+AD33+AH33+AM33+AQ33+AV33+AZ33</f>
        <v>32</v>
      </c>
      <c r="Q33" s="100">
        <f t="shared" si="27"/>
        <v>68</v>
      </c>
      <c r="R33" s="101">
        <f t="shared" si="27"/>
        <v>188</v>
      </c>
      <c r="S33" s="102">
        <v>8.0</v>
      </c>
      <c r="T33" s="103">
        <v>3.0</v>
      </c>
      <c r="U33" s="100">
        <v>16.0</v>
      </c>
      <c r="V33" s="100">
        <v>34.0</v>
      </c>
      <c r="W33" s="100">
        <v>94.0</v>
      </c>
      <c r="X33" s="103">
        <v>3.0</v>
      </c>
      <c r="Y33" s="100">
        <v>16.0</v>
      </c>
      <c r="Z33" s="100">
        <v>34.0</v>
      </c>
      <c r="AA33" s="105">
        <v>94.0</v>
      </c>
      <c r="AB33" s="106"/>
      <c r="AC33" s="103"/>
      <c r="AD33" s="100"/>
      <c r="AE33" s="100"/>
      <c r="AF33" s="100"/>
      <c r="AG33" s="103"/>
      <c r="AH33" s="104"/>
      <c r="AI33" s="104"/>
      <c r="AJ33" s="120"/>
      <c r="AK33" s="102"/>
      <c r="AL33" s="103"/>
      <c r="AM33" s="100"/>
      <c r="AN33" s="100"/>
      <c r="AO33" s="100"/>
      <c r="AP33" s="103"/>
      <c r="AQ33" s="100"/>
      <c r="AR33" s="100"/>
      <c r="AS33" s="105"/>
      <c r="AT33" s="106"/>
      <c r="AU33" s="103"/>
      <c r="AV33" s="100"/>
      <c r="AW33" s="100"/>
      <c r="AX33" s="100"/>
      <c r="AY33" s="103"/>
      <c r="AZ33" s="100"/>
      <c r="BA33" s="100"/>
      <c r="BB33" s="101"/>
    </row>
    <row r="34" ht="12.75" customHeight="1">
      <c r="A34" s="78" t="s">
        <v>97</v>
      </c>
      <c r="B34" s="79" t="s">
        <v>98</v>
      </c>
      <c r="C34" s="80"/>
      <c r="D34" s="81"/>
      <c r="E34" s="82"/>
      <c r="F34" s="83"/>
      <c r="G34" s="82"/>
      <c r="H34" s="82"/>
      <c r="I34" s="82"/>
      <c r="J34" s="82"/>
      <c r="K34" s="83"/>
      <c r="L34" s="84"/>
      <c r="M34" s="85">
        <f t="shared" ref="M34:BB34" si="28">SUM(M35:M39)</f>
        <v>36</v>
      </c>
      <c r="N34" s="118">
        <f t="shared" si="28"/>
        <v>1296</v>
      </c>
      <c r="O34" s="118">
        <f t="shared" si="28"/>
        <v>450</v>
      </c>
      <c r="P34" s="118">
        <f t="shared" si="28"/>
        <v>112</v>
      </c>
      <c r="Q34" s="118">
        <f t="shared" si="28"/>
        <v>338</v>
      </c>
      <c r="R34" s="118">
        <f t="shared" si="28"/>
        <v>846</v>
      </c>
      <c r="S34" s="85">
        <f t="shared" si="28"/>
        <v>16</v>
      </c>
      <c r="T34" s="85">
        <f t="shared" si="28"/>
        <v>4</v>
      </c>
      <c r="U34" s="85">
        <f t="shared" si="28"/>
        <v>16</v>
      </c>
      <c r="V34" s="85">
        <f t="shared" si="28"/>
        <v>50</v>
      </c>
      <c r="W34" s="85">
        <f t="shared" si="28"/>
        <v>150</v>
      </c>
      <c r="X34" s="85">
        <f t="shared" si="28"/>
        <v>7</v>
      </c>
      <c r="Y34" s="85">
        <f t="shared" si="28"/>
        <v>32</v>
      </c>
      <c r="Z34" s="85">
        <f t="shared" si="28"/>
        <v>84</v>
      </c>
      <c r="AA34" s="85">
        <f t="shared" si="28"/>
        <v>244</v>
      </c>
      <c r="AB34" s="85">
        <f t="shared" si="28"/>
        <v>20</v>
      </c>
      <c r="AC34" s="118">
        <f t="shared" si="28"/>
        <v>8</v>
      </c>
      <c r="AD34" s="118">
        <f t="shared" si="28"/>
        <v>32</v>
      </c>
      <c r="AE34" s="118">
        <f t="shared" si="28"/>
        <v>102</v>
      </c>
      <c r="AF34" s="118">
        <f t="shared" si="28"/>
        <v>226</v>
      </c>
      <c r="AG34" s="118">
        <f t="shared" si="28"/>
        <v>8</v>
      </c>
      <c r="AH34" s="118">
        <f t="shared" si="28"/>
        <v>32</v>
      </c>
      <c r="AI34" s="118">
        <f t="shared" si="28"/>
        <v>102</v>
      </c>
      <c r="AJ34" s="118">
        <f t="shared" si="28"/>
        <v>226</v>
      </c>
      <c r="AK34" s="85">
        <f t="shared" si="28"/>
        <v>0</v>
      </c>
      <c r="AL34" s="85">
        <f t="shared" si="28"/>
        <v>0</v>
      </c>
      <c r="AM34" s="118">
        <f t="shared" si="28"/>
        <v>0</v>
      </c>
      <c r="AN34" s="118">
        <f t="shared" si="28"/>
        <v>0</v>
      </c>
      <c r="AO34" s="118">
        <f t="shared" si="28"/>
        <v>0</v>
      </c>
      <c r="AP34" s="118">
        <f t="shared" si="28"/>
        <v>0</v>
      </c>
      <c r="AQ34" s="118">
        <f t="shared" si="28"/>
        <v>0</v>
      </c>
      <c r="AR34" s="118">
        <f t="shared" si="28"/>
        <v>0</v>
      </c>
      <c r="AS34" s="118">
        <f t="shared" si="28"/>
        <v>0</v>
      </c>
      <c r="AT34" s="85">
        <f t="shared" si="28"/>
        <v>0</v>
      </c>
      <c r="AU34" s="85">
        <f t="shared" si="28"/>
        <v>0</v>
      </c>
      <c r="AV34" s="118">
        <f t="shared" si="28"/>
        <v>0</v>
      </c>
      <c r="AW34" s="118">
        <f t="shared" si="28"/>
        <v>0</v>
      </c>
      <c r="AX34" s="118">
        <f t="shared" si="28"/>
        <v>0</v>
      </c>
      <c r="AY34" s="85">
        <f t="shared" si="28"/>
        <v>0</v>
      </c>
      <c r="AZ34" s="118">
        <f t="shared" si="28"/>
        <v>0</v>
      </c>
      <c r="BA34" s="118">
        <f t="shared" si="28"/>
        <v>0</v>
      </c>
      <c r="BB34" s="118">
        <f t="shared" si="28"/>
        <v>0</v>
      </c>
    </row>
    <row r="35" ht="23.25" customHeight="1">
      <c r="A35" s="124"/>
      <c r="B35" s="92" t="s">
        <v>99</v>
      </c>
      <c r="C35" s="93" t="s">
        <v>50</v>
      </c>
      <c r="D35" s="94" t="str">
        <f>VLOOKUP(B35,'Матрица компетенций'!$A$4:$C$66,3,FALSE)</f>
        <v>ПКН-2, ПКН-4</v>
      </c>
      <c r="E35" s="96" t="s">
        <v>100</v>
      </c>
      <c r="F35" s="95"/>
      <c r="G35" s="95"/>
      <c r="H35" s="95"/>
      <c r="I35" s="95"/>
      <c r="J35" s="96" t="s">
        <v>96</v>
      </c>
      <c r="K35" s="95"/>
      <c r="L35" s="97"/>
      <c r="M35" s="98">
        <f t="shared" ref="M35:M39" si="30">N35/36</f>
        <v>8</v>
      </c>
      <c r="N35" s="99">
        <f t="shared" ref="N35:N39" si="31">O35+R35</f>
        <v>288</v>
      </c>
      <c r="O35" s="100">
        <f t="shared" ref="O35:O39" si="32">P35+Q35</f>
        <v>100</v>
      </c>
      <c r="P35" s="100">
        <f t="shared" ref="P35:R35" si="29">U35+Y35+AD35+AH35+AM35+AQ35+AV35+AZ35</f>
        <v>32</v>
      </c>
      <c r="Q35" s="100">
        <f t="shared" si="29"/>
        <v>68</v>
      </c>
      <c r="R35" s="101">
        <f t="shared" si="29"/>
        <v>188</v>
      </c>
      <c r="S35" s="102">
        <v>8.0</v>
      </c>
      <c r="T35" s="103">
        <v>3.0</v>
      </c>
      <c r="U35" s="104">
        <v>16.0</v>
      </c>
      <c r="V35" s="104">
        <v>34.0</v>
      </c>
      <c r="W35" s="104">
        <v>94.0</v>
      </c>
      <c r="X35" s="103">
        <v>3.0</v>
      </c>
      <c r="Y35" s="104">
        <v>16.0</v>
      </c>
      <c r="Z35" s="104">
        <v>34.0</v>
      </c>
      <c r="AA35" s="115">
        <v>94.0</v>
      </c>
      <c r="AB35" s="106"/>
      <c r="AC35" s="99"/>
      <c r="AD35" s="100"/>
      <c r="AE35" s="100"/>
      <c r="AF35" s="100"/>
      <c r="AG35" s="99"/>
      <c r="AH35" s="100"/>
      <c r="AI35" s="100"/>
      <c r="AJ35" s="101"/>
      <c r="AK35" s="102"/>
      <c r="AL35" s="103"/>
      <c r="AM35" s="125"/>
      <c r="AN35" s="125"/>
      <c r="AO35" s="125"/>
      <c r="AP35" s="99"/>
      <c r="AQ35" s="125"/>
      <c r="AR35" s="125"/>
      <c r="AS35" s="126"/>
      <c r="AT35" s="106"/>
      <c r="AU35" s="103"/>
      <c r="AV35" s="125"/>
      <c r="AW35" s="125"/>
      <c r="AX35" s="125"/>
      <c r="AY35" s="103"/>
      <c r="AZ35" s="125"/>
      <c r="BA35" s="125"/>
      <c r="BB35" s="127"/>
    </row>
    <row r="36" ht="12.75" customHeight="1">
      <c r="A36" s="124"/>
      <c r="B36" s="92" t="s">
        <v>101</v>
      </c>
      <c r="C36" s="93" t="s">
        <v>50</v>
      </c>
      <c r="D36" s="94" t="str">
        <f>VLOOKUP(B36,'Матрица компетенций'!$A$4:$C$66,3,FALSE)</f>
        <v>УК-10, ПКН-4</v>
      </c>
      <c r="E36" s="96"/>
      <c r="F36" s="95" t="s">
        <v>102</v>
      </c>
      <c r="G36" s="95"/>
      <c r="H36" s="95"/>
      <c r="I36" s="95"/>
      <c r="J36" s="95"/>
      <c r="K36" s="95"/>
      <c r="L36" s="110" t="s">
        <v>102</v>
      </c>
      <c r="M36" s="98">
        <f t="shared" si="30"/>
        <v>8</v>
      </c>
      <c r="N36" s="99">
        <f t="shared" si="31"/>
        <v>288</v>
      </c>
      <c r="O36" s="100">
        <f t="shared" si="32"/>
        <v>64</v>
      </c>
      <c r="P36" s="100">
        <f t="shared" ref="P36:R36" si="33">U36+Y36+AD36+AH36+AM36+AQ36+AV36+AZ36</f>
        <v>0</v>
      </c>
      <c r="Q36" s="100">
        <f t="shared" si="33"/>
        <v>64</v>
      </c>
      <c r="R36" s="101">
        <f t="shared" si="33"/>
        <v>224</v>
      </c>
      <c r="S36" s="102">
        <v>4.0</v>
      </c>
      <c r="T36" s="103">
        <v>1.0</v>
      </c>
      <c r="U36" s="100"/>
      <c r="V36" s="100">
        <v>16.0</v>
      </c>
      <c r="W36" s="100">
        <v>56.0</v>
      </c>
      <c r="X36" s="103">
        <v>1.0</v>
      </c>
      <c r="Y36" s="100"/>
      <c r="Z36" s="100">
        <v>16.0</v>
      </c>
      <c r="AA36" s="105">
        <v>56.0</v>
      </c>
      <c r="AB36" s="106">
        <v>4.0</v>
      </c>
      <c r="AC36" s="99">
        <v>1.0</v>
      </c>
      <c r="AD36" s="104"/>
      <c r="AE36" s="104">
        <v>16.0</v>
      </c>
      <c r="AF36" s="104">
        <v>56.0</v>
      </c>
      <c r="AG36" s="99">
        <v>1.0</v>
      </c>
      <c r="AH36" s="104"/>
      <c r="AI36" s="104">
        <v>16.0</v>
      </c>
      <c r="AJ36" s="120">
        <v>56.0</v>
      </c>
      <c r="AK36" s="102"/>
      <c r="AL36" s="103"/>
      <c r="AM36" s="125"/>
      <c r="AN36" s="125"/>
      <c r="AO36" s="125"/>
      <c r="AP36" s="99"/>
      <c r="AQ36" s="125"/>
      <c r="AR36" s="125"/>
      <c r="AS36" s="126"/>
      <c r="AT36" s="106"/>
      <c r="AU36" s="103"/>
      <c r="AV36" s="125"/>
      <c r="AW36" s="125"/>
      <c r="AX36" s="125"/>
      <c r="AY36" s="103"/>
      <c r="AZ36" s="125"/>
      <c r="BA36" s="125"/>
      <c r="BB36" s="127"/>
    </row>
    <row r="37" ht="12.75" customHeight="1">
      <c r="A37" s="124" t="s">
        <v>103</v>
      </c>
      <c r="B37" s="92" t="s">
        <v>104</v>
      </c>
      <c r="C37" s="93" t="s">
        <v>50</v>
      </c>
      <c r="D37" s="94" t="str">
        <f>VLOOKUP(B37,'Матрица компетенций'!$A$4:$C$66,3,FALSE)</f>
        <v>ПКН-2</v>
      </c>
      <c r="E37" s="96"/>
      <c r="F37" s="95" t="s">
        <v>88</v>
      </c>
      <c r="G37" s="95"/>
      <c r="H37" s="95"/>
      <c r="I37" s="95"/>
      <c r="J37" s="96" t="s">
        <v>88</v>
      </c>
      <c r="K37" s="95"/>
      <c r="L37" s="110"/>
      <c r="M37" s="98">
        <f t="shared" si="30"/>
        <v>4</v>
      </c>
      <c r="N37" s="99">
        <f t="shared" si="31"/>
        <v>144</v>
      </c>
      <c r="O37" s="100">
        <f t="shared" si="32"/>
        <v>50</v>
      </c>
      <c r="P37" s="100">
        <f t="shared" ref="P37:R37" si="34">U37+Y37+AD37+AH37+AM37+AQ37+AV37+AZ37</f>
        <v>16</v>
      </c>
      <c r="Q37" s="100">
        <f t="shared" si="34"/>
        <v>34</v>
      </c>
      <c r="R37" s="101">
        <f t="shared" si="34"/>
        <v>94</v>
      </c>
      <c r="S37" s="102">
        <v>4.0</v>
      </c>
      <c r="T37" s="103"/>
      <c r="U37" s="100"/>
      <c r="V37" s="100"/>
      <c r="W37" s="100"/>
      <c r="X37" s="103">
        <v>3.0</v>
      </c>
      <c r="Y37" s="100">
        <v>16.0</v>
      </c>
      <c r="Z37" s="100">
        <v>34.0</v>
      </c>
      <c r="AA37" s="100">
        <v>94.0</v>
      </c>
      <c r="AB37" s="106"/>
      <c r="AC37" s="99"/>
      <c r="AD37" s="100"/>
      <c r="AE37" s="100"/>
      <c r="AF37" s="100"/>
      <c r="AG37" s="99"/>
      <c r="AH37" s="100"/>
      <c r="AI37" s="100"/>
      <c r="AJ37" s="101"/>
      <c r="AK37" s="102"/>
      <c r="AL37" s="103"/>
      <c r="AM37" s="125"/>
      <c r="AN37" s="125"/>
      <c r="AO37" s="125"/>
      <c r="AP37" s="99"/>
      <c r="AQ37" s="125"/>
      <c r="AR37" s="125"/>
      <c r="AS37" s="126"/>
      <c r="AT37" s="106"/>
      <c r="AU37" s="103"/>
      <c r="AV37" s="125"/>
      <c r="AW37" s="125"/>
      <c r="AX37" s="125"/>
      <c r="AY37" s="103"/>
      <c r="AZ37" s="125"/>
      <c r="BA37" s="125"/>
      <c r="BB37" s="127"/>
    </row>
    <row r="38" ht="12.75" customHeight="1">
      <c r="A38" s="91" t="s">
        <v>105</v>
      </c>
      <c r="B38" s="92" t="s">
        <v>106</v>
      </c>
      <c r="C38" s="93" t="s">
        <v>50</v>
      </c>
      <c r="D38" s="94" t="str">
        <f>VLOOKUP(B38,'Матрица компетенций'!$A$4:$C$66,3,FALSE)</f>
        <v>ПКН-4, ПКН-5</v>
      </c>
      <c r="E38" s="96" t="s">
        <v>64</v>
      </c>
      <c r="F38" s="96" t="s">
        <v>87</v>
      </c>
      <c r="G38" s="95"/>
      <c r="H38" s="95"/>
      <c r="I38" s="95"/>
      <c r="J38" s="114" t="s">
        <v>107</v>
      </c>
      <c r="K38" s="95"/>
      <c r="L38" s="97"/>
      <c r="M38" s="98">
        <f t="shared" si="30"/>
        <v>8</v>
      </c>
      <c r="N38" s="99">
        <f t="shared" si="31"/>
        <v>288</v>
      </c>
      <c r="O38" s="100">
        <f t="shared" si="32"/>
        <v>136</v>
      </c>
      <c r="P38" s="100">
        <f t="shared" ref="P38:R38" si="35">U38+Y38+AD38+AH38+AM38+AQ38+AV38+AZ38</f>
        <v>32</v>
      </c>
      <c r="Q38" s="100">
        <f t="shared" si="35"/>
        <v>104</v>
      </c>
      <c r="R38" s="101">
        <f t="shared" si="35"/>
        <v>152</v>
      </c>
      <c r="S38" s="102"/>
      <c r="T38" s="103"/>
      <c r="U38" s="104"/>
      <c r="V38" s="104"/>
      <c r="W38" s="104"/>
      <c r="X38" s="103"/>
      <c r="Y38" s="104"/>
      <c r="Z38" s="104"/>
      <c r="AA38" s="115"/>
      <c r="AB38" s="106">
        <v>8.0</v>
      </c>
      <c r="AC38" s="103">
        <v>4.0</v>
      </c>
      <c r="AD38" s="100">
        <v>16.0</v>
      </c>
      <c r="AE38" s="100">
        <v>52.0</v>
      </c>
      <c r="AF38" s="100">
        <v>76.0</v>
      </c>
      <c r="AG38" s="99">
        <v>4.0</v>
      </c>
      <c r="AH38" s="100">
        <v>16.0</v>
      </c>
      <c r="AI38" s="100">
        <v>52.0</v>
      </c>
      <c r="AJ38" s="101">
        <v>76.0</v>
      </c>
      <c r="AK38" s="102"/>
      <c r="AL38" s="103"/>
      <c r="AM38" s="100"/>
      <c r="AN38" s="100"/>
      <c r="AO38" s="100"/>
      <c r="AP38" s="103"/>
      <c r="AQ38" s="100"/>
      <c r="AR38" s="100"/>
      <c r="AS38" s="105"/>
      <c r="AT38" s="106"/>
      <c r="AU38" s="103"/>
      <c r="AV38" s="100"/>
      <c r="AW38" s="100"/>
      <c r="AX38" s="100"/>
      <c r="AY38" s="103"/>
      <c r="AZ38" s="100"/>
      <c r="BA38" s="100"/>
      <c r="BB38" s="101"/>
    </row>
    <row r="39" ht="12.75" customHeight="1">
      <c r="A39" s="91" t="s">
        <v>108</v>
      </c>
      <c r="B39" s="92" t="s">
        <v>109</v>
      </c>
      <c r="C39" s="93" t="s">
        <v>50</v>
      </c>
      <c r="D39" s="94" t="str">
        <f>VLOOKUP(B39,'Матрица компетенций'!$A$4:$C$66,3,FALSE)</f>
        <v>ПКН-2</v>
      </c>
      <c r="E39" s="96" t="s">
        <v>64</v>
      </c>
      <c r="F39" s="95" t="s">
        <v>87</v>
      </c>
      <c r="G39" s="95" t="s">
        <v>64</v>
      </c>
      <c r="H39" s="96"/>
      <c r="I39" s="95"/>
      <c r="J39" s="95" t="s">
        <v>87</v>
      </c>
      <c r="K39" s="95"/>
      <c r="L39" s="97"/>
      <c r="M39" s="98">
        <f t="shared" si="30"/>
        <v>8</v>
      </c>
      <c r="N39" s="99">
        <f t="shared" si="31"/>
        <v>288</v>
      </c>
      <c r="O39" s="100">
        <f t="shared" si="32"/>
        <v>100</v>
      </c>
      <c r="P39" s="100">
        <f t="shared" ref="P39:R39" si="36">U39+Y39+AD39+AH39+AM39+AQ39+AV39+AZ39</f>
        <v>32</v>
      </c>
      <c r="Q39" s="100">
        <f t="shared" si="36"/>
        <v>68</v>
      </c>
      <c r="R39" s="101">
        <f t="shared" si="36"/>
        <v>188</v>
      </c>
      <c r="S39" s="102"/>
      <c r="T39" s="103"/>
      <c r="U39" s="100"/>
      <c r="V39" s="100"/>
      <c r="W39" s="100"/>
      <c r="X39" s="103"/>
      <c r="Y39" s="104"/>
      <c r="Z39" s="104"/>
      <c r="AA39" s="115"/>
      <c r="AB39" s="106">
        <v>8.0</v>
      </c>
      <c r="AC39" s="103">
        <v>3.0</v>
      </c>
      <c r="AD39" s="100">
        <v>16.0</v>
      </c>
      <c r="AE39" s="100">
        <v>34.0</v>
      </c>
      <c r="AF39" s="100">
        <v>94.0</v>
      </c>
      <c r="AG39" s="99">
        <v>3.0</v>
      </c>
      <c r="AH39" s="100">
        <v>16.0</v>
      </c>
      <c r="AI39" s="100">
        <v>34.0</v>
      </c>
      <c r="AJ39" s="101">
        <v>94.0</v>
      </c>
      <c r="AK39" s="102"/>
      <c r="AL39" s="103"/>
      <c r="AM39" s="100"/>
      <c r="AN39" s="100"/>
      <c r="AO39" s="100"/>
      <c r="AP39" s="103"/>
      <c r="AQ39" s="100"/>
      <c r="AR39" s="100"/>
      <c r="AS39" s="105"/>
      <c r="AT39" s="106"/>
      <c r="AU39" s="103"/>
      <c r="AV39" s="100"/>
      <c r="AW39" s="100"/>
      <c r="AX39" s="100"/>
      <c r="AY39" s="103"/>
      <c r="AZ39" s="100"/>
      <c r="BA39" s="100"/>
      <c r="BB39" s="101"/>
    </row>
    <row r="40" ht="12.75" customHeight="1">
      <c r="A40" s="128" t="s">
        <v>110</v>
      </c>
      <c r="B40" s="129" t="s">
        <v>111</v>
      </c>
      <c r="C40" s="130"/>
      <c r="D40" s="131"/>
      <c r="E40" s="132"/>
      <c r="F40" s="132"/>
      <c r="G40" s="132"/>
      <c r="H40" s="132"/>
      <c r="I40" s="132"/>
      <c r="J40" s="132"/>
      <c r="K40" s="132"/>
      <c r="L40" s="133"/>
      <c r="M40" s="134">
        <f t="shared" ref="M40:BB40" si="37">M41+M51</f>
        <v>105</v>
      </c>
      <c r="N40" s="135">
        <f t="shared" si="37"/>
        <v>3060</v>
      </c>
      <c r="O40" s="135">
        <f t="shared" si="37"/>
        <v>1180</v>
      </c>
      <c r="P40" s="135">
        <f t="shared" si="37"/>
        <v>370</v>
      </c>
      <c r="Q40" s="135">
        <f t="shared" si="37"/>
        <v>810</v>
      </c>
      <c r="R40" s="136">
        <f t="shared" si="37"/>
        <v>1880</v>
      </c>
      <c r="S40" s="137">
        <f t="shared" si="37"/>
        <v>15</v>
      </c>
      <c r="T40" s="138">
        <f t="shared" si="37"/>
        <v>7</v>
      </c>
      <c r="U40" s="138">
        <f t="shared" si="37"/>
        <v>32</v>
      </c>
      <c r="V40" s="138">
        <f t="shared" si="37"/>
        <v>86</v>
      </c>
      <c r="W40" s="138">
        <f t="shared" si="37"/>
        <v>206</v>
      </c>
      <c r="X40" s="138">
        <f t="shared" si="37"/>
        <v>5</v>
      </c>
      <c r="Y40" s="138">
        <f t="shared" si="37"/>
        <v>34</v>
      </c>
      <c r="Z40" s="138">
        <f t="shared" si="37"/>
        <v>52</v>
      </c>
      <c r="AA40" s="138">
        <f t="shared" si="37"/>
        <v>94</v>
      </c>
      <c r="AB40" s="139">
        <f t="shared" si="37"/>
        <v>8</v>
      </c>
      <c r="AC40" s="135">
        <f t="shared" si="37"/>
        <v>3</v>
      </c>
      <c r="AD40" s="135">
        <f t="shared" si="37"/>
        <v>16</v>
      </c>
      <c r="AE40" s="135">
        <f t="shared" si="37"/>
        <v>34</v>
      </c>
      <c r="AF40" s="135">
        <f t="shared" si="37"/>
        <v>94</v>
      </c>
      <c r="AG40" s="135">
        <f t="shared" si="37"/>
        <v>3</v>
      </c>
      <c r="AH40" s="135">
        <f t="shared" si="37"/>
        <v>16</v>
      </c>
      <c r="AI40" s="135">
        <f t="shared" si="37"/>
        <v>34</v>
      </c>
      <c r="AJ40" s="136">
        <f t="shared" si="37"/>
        <v>94</v>
      </c>
      <c r="AK40" s="140">
        <f t="shared" si="37"/>
        <v>34</v>
      </c>
      <c r="AL40" s="135">
        <f t="shared" si="37"/>
        <v>8</v>
      </c>
      <c r="AM40" s="135">
        <f t="shared" si="37"/>
        <v>32</v>
      </c>
      <c r="AN40" s="135">
        <f t="shared" si="37"/>
        <v>104</v>
      </c>
      <c r="AO40" s="135">
        <f t="shared" si="37"/>
        <v>188</v>
      </c>
      <c r="AP40" s="135">
        <f t="shared" si="37"/>
        <v>22</v>
      </c>
      <c r="AQ40" s="135">
        <f t="shared" si="37"/>
        <v>128</v>
      </c>
      <c r="AR40" s="135">
        <f t="shared" si="37"/>
        <v>242</v>
      </c>
      <c r="AS40" s="138">
        <f t="shared" si="37"/>
        <v>638</v>
      </c>
      <c r="AT40" s="134">
        <f t="shared" si="37"/>
        <v>26</v>
      </c>
      <c r="AU40" s="135">
        <f t="shared" si="37"/>
        <v>22</v>
      </c>
      <c r="AV40" s="135">
        <f t="shared" si="37"/>
        <v>112</v>
      </c>
      <c r="AW40" s="135">
        <f t="shared" si="37"/>
        <v>258</v>
      </c>
      <c r="AX40" s="135">
        <f t="shared" si="37"/>
        <v>566</v>
      </c>
      <c r="AY40" s="135">
        <f t="shared" si="37"/>
        <v>0</v>
      </c>
      <c r="AZ40" s="135">
        <f t="shared" si="37"/>
        <v>0</v>
      </c>
      <c r="BA40" s="135">
        <f t="shared" si="37"/>
        <v>0</v>
      </c>
      <c r="BB40" s="136">
        <f t="shared" si="37"/>
        <v>0</v>
      </c>
    </row>
    <row r="41" ht="12.75" customHeight="1">
      <c r="A41" s="78" t="s">
        <v>112</v>
      </c>
      <c r="B41" s="79" t="s">
        <v>113</v>
      </c>
      <c r="C41" s="80"/>
      <c r="D41" s="81"/>
      <c r="E41" s="82"/>
      <c r="F41" s="82"/>
      <c r="G41" s="82"/>
      <c r="H41" s="82"/>
      <c r="I41" s="82"/>
      <c r="J41" s="82"/>
      <c r="K41" s="82"/>
      <c r="L41" s="84"/>
      <c r="M41" s="85">
        <f>SUM(M42:M50)</f>
        <v>45</v>
      </c>
      <c r="N41" s="86">
        <f t="shared" ref="N41:BB41" si="38">SUM(N42:N46)</f>
        <v>900</v>
      </c>
      <c r="O41" s="86">
        <f t="shared" si="38"/>
        <v>338</v>
      </c>
      <c r="P41" s="86">
        <f t="shared" si="38"/>
        <v>114</v>
      </c>
      <c r="Q41" s="86">
        <f t="shared" si="38"/>
        <v>224</v>
      </c>
      <c r="R41" s="87">
        <f t="shared" si="38"/>
        <v>562</v>
      </c>
      <c r="S41" s="88">
        <f t="shared" si="38"/>
        <v>15</v>
      </c>
      <c r="T41" s="89">
        <f t="shared" si="38"/>
        <v>7</v>
      </c>
      <c r="U41" s="86">
        <f t="shared" si="38"/>
        <v>32</v>
      </c>
      <c r="V41" s="86">
        <f t="shared" si="38"/>
        <v>86</v>
      </c>
      <c r="W41" s="86">
        <f t="shared" si="38"/>
        <v>206</v>
      </c>
      <c r="X41" s="89">
        <f t="shared" si="38"/>
        <v>5</v>
      </c>
      <c r="Y41" s="86">
        <f t="shared" si="38"/>
        <v>34</v>
      </c>
      <c r="Z41" s="86">
        <f t="shared" si="38"/>
        <v>52</v>
      </c>
      <c r="AA41" s="90">
        <f t="shared" si="38"/>
        <v>94</v>
      </c>
      <c r="AB41" s="85">
        <f t="shared" si="38"/>
        <v>8</v>
      </c>
      <c r="AC41" s="89">
        <f t="shared" si="38"/>
        <v>3</v>
      </c>
      <c r="AD41" s="89">
        <f t="shared" si="38"/>
        <v>16</v>
      </c>
      <c r="AE41" s="89">
        <f t="shared" si="38"/>
        <v>34</v>
      </c>
      <c r="AF41" s="89">
        <f t="shared" si="38"/>
        <v>94</v>
      </c>
      <c r="AG41" s="89">
        <f t="shared" si="38"/>
        <v>3</v>
      </c>
      <c r="AH41" s="89">
        <f t="shared" si="38"/>
        <v>16</v>
      </c>
      <c r="AI41" s="89">
        <f t="shared" si="38"/>
        <v>34</v>
      </c>
      <c r="AJ41" s="141">
        <f t="shared" si="38"/>
        <v>94</v>
      </c>
      <c r="AK41" s="88">
        <f t="shared" si="38"/>
        <v>0</v>
      </c>
      <c r="AL41" s="89">
        <f t="shared" si="38"/>
        <v>0</v>
      </c>
      <c r="AM41" s="86">
        <f t="shared" si="38"/>
        <v>0</v>
      </c>
      <c r="AN41" s="86">
        <f t="shared" si="38"/>
        <v>0</v>
      </c>
      <c r="AO41" s="86">
        <f t="shared" si="38"/>
        <v>0</v>
      </c>
      <c r="AP41" s="89">
        <f t="shared" si="38"/>
        <v>2</v>
      </c>
      <c r="AQ41" s="86">
        <f t="shared" si="38"/>
        <v>16</v>
      </c>
      <c r="AR41" s="86">
        <f t="shared" si="38"/>
        <v>18</v>
      </c>
      <c r="AS41" s="90">
        <f t="shared" si="38"/>
        <v>74</v>
      </c>
      <c r="AT41" s="85">
        <f t="shared" si="38"/>
        <v>0</v>
      </c>
      <c r="AU41" s="89">
        <f t="shared" si="38"/>
        <v>0</v>
      </c>
      <c r="AV41" s="86">
        <f t="shared" si="38"/>
        <v>0</v>
      </c>
      <c r="AW41" s="86">
        <f t="shared" si="38"/>
        <v>0</v>
      </c>
      <c r="AX41" s="86">
        <f t="shared" si="38"/>
        <v>0</v>
      </c>
      <c r="AY41" s="89">
        <f t="shared" si="38"/>
        <v>0</v>
      </c>
      <c r="AZ41" s="86">
        <f t="shared" si="38"/>
        <v>0</v>
      </c>
      <c r="BA41" s="86">
        <f t="shared" si="38"/>
        <v>0</v>
      </c>
      <c r="BB41" s="87">
        <f t="shared" si="38"/>
        <v>0</v>
      </c>
    </row>
    <row r="42">
      <c r="A42" s="91" t="s">
        <v>114</v>
      </c>
      <c r="B42" s="142" t="s">
        <v>115</v>
      </c>
      <c r="C42" s="93" t="s">
        <v>50</v>
      </c>
      <c r="D42" s="94" t="str">
        <f>VLOOKUP(B42,'Матрица компетенций'!$A$4:$C$66,3,FALSE)</f>
        <v>ПКН-2</v>
      </c>
      <c r="E42" s="96" t="s">
        <v>51</v>
      </c>
      <c r="F42" s="95"/>
      <c r="G42" s="95"/>
      <c r="H42" s="95"/>
      <c r="I42" s="95"/>
      <c r="J42" s="95" t="s">
        <v>51</v>
      </c>
      <c r="K42" s="95"/>
      <c r="L42" s="110"/>
      <c r="M42" s="98">
        <f t="shared" ref="M42:M50" si="40">N42/36</f>
        <v>5</v>
      </c>
      <c r="N42" s="99">
        <f t="shared" ref="N42:N50" si="41">O42+R42</f>
        <v>180</v>
      </c>
      <c r="O42" s="100">
        <f t="shared" ref="O42:O50" si="42">P42+Q42</f>
        <v>68</v>
      </c>
      <c r="P42" s="100">
        <f t="shared" ref="P42:R42" si="39">U42+Y42+AD42+AH42+AM42+AQ42+AV42+AZ42</f>
        <v>16</v>
      </c>
      <c r="Q42" s="100">
        <f t="shared" si="39"/>
        <v>52</v>
      </c>
      <c r="R42" s="101">
        <f t="shared" si="39"/>
        <v>112</v>
      </c>
      <c r="S42" s="102">
        <v>5.0</v>
      </c>
      <c r="T42" s="103">
        <v>4.0</v>
      </c>
      <c r="U42" s="100">
        <v>16.0</v>
      </c>
      <c r="V42" s="100">
        <v>52.0</v>
      </c>
      <c r="W42" s="100">
        <v>112.0</v>
      </c>
      <c r="X42" s="103"/>
      <c r="Y42" s="100"/>
      <c r="Z42" s="100"/>
      <c r="AA42" s="105"/>
      <c r="AB42" s="106"/>
      <c r="AC42" s="103"/>
      <c r="AD42" s="104"/>
      <c r="AE42" s="104"/>
      <c r="AF42" s="104"/>
      <c r="AG42" s="103"/>
      <c r="AH42" s="104"/>
      <c r="AI42" s="104"/>
      <c r="AJ42" s="120"/>
      <c r="AK42" s="102"/>
      <c r="AL42" s="103"/>
      <c r="AM42" s="100"/>
      <c r="AN42" s="100"/>
      <c r="AO42" s="100"/>
      <c r="AP42" s="103"/>
      <c r="AQ42" s="100"/>
      <c r="AR42" s="100"/>
      <c r="AS42" s="105"/>
      <c r="AT42" s="106"/>
      <c r="AU42" s="103"/>
      <c r="AV42" s="100"/>
      <c r="AW42" s="100"/>
      <c r="AX42" s="100"/>
      <c r="AY42" s="103"/>
      <c r="AZ42" s="100"/>
      <c r="BA42" s="100"/>
      <c r="BB42" s="101"/>
    </row>
    <row r="43" ht="12.75" customHeight="1">
      <c r="A43" s="91" t="s">
        <v>116</v>
      </c>
      <c r="B43" s="142" t="s">
        <v>117</v>
      </c>
      <c r="C43" s="93" t="s">
        <v>50</v>
      </c>
      <c r="D43" s="94" t="str">
        <f>VLOOKUP(B43,'Матрица компетенций'!$A$4:$C$66,3,FALSE)</f>
        <v>ПКН-2</v>
      </c>
      <c r="E43" s="95" t="s">
        <v>88</v>
      </c>
      <c r="F43" s="96" t="s">
        <v>51</v>
      </c>
      <c r="G43" s="95"/>
      <c r="H43" s="95"/>
      <c r="I43" s="95"/>
      <c r="J43" s="95" t="s">
        <v>96</v>
      </c>
      <c r="K43" s="96"/>
      <c r="L43" s="97"/>
      <c r="M43" s="98">
        <f t="shared" si="40"/>
        <v>9</v>
      </c>
      <c r="N43" s="99">
        <f t="shared" si="41"/>
        <v>324</v>
      </c>
      <c r="O43" s="100">
        <f t="shared" si="42"/>
        <v>136</v>
      </c>
      <c r="P43" s="100">
        <f t="shared" ref="P43:R43" si="43">U43+Y43+AD43+AH43+AM43+AQ43+AV43+AZ43</f>
        <v>50</v>
      </c>
      <c r="Q43" s="100">
        <f t="shared" si="43"/>
        <v>86</v>
      </c>
      <c r="R43" s="101">
        <f t="shared" si="43"/>
        <v>188</v>
      </c>
      <c r="S43" s="102">
        <v>10.0</v>
      </c>
      <c r="T43" s="103">
        <v>3.0</v>
      </c>
      <c r="U43" s="100">
        <v>16.0</v>
      </c>
      <c r="V43" s="100">
        <v>34.0</v>
      </c>
      <c r="W43" s="100">
        <v>94.0</v>
      </c>
      <c r="X43" s="103">
        <v>5.0</v>
      </c>
      <c r="Y43" s="100">
        <v>34.0</v>
      </c>
      <c r="Z43" s="100">
        <v>52.0</v>
      </c>
      <c r="AA43" s="105">
        <v>94.0</v>
      </c>
      <c r="AB43" s="106"/>
      <c r="AC43" s="103"/>
      <c r="AD43" s="100"/>
      <c r="AE43" s="100"/>
      <c r="AF43" s="100"/>
      <c r="AG43" s="99"/>
      <c r="AH43" s="100"/>
      <c r="AI43" s="100"/>
      <c r="AJ43" s="101"/>
      <c r="AK43" s="123"/>
      <c r="AL43" s="99"/>
      <c r="AM43" s="100"/>
      <c r="AN43" s="100"/>
      <c r="AO43" s="100"/>
      <c r="AP43" s="99"/>
      <c r="AQ43" s="100"/>
      <c r="AR43" s="100"/>
      <c r="AS43" s="105"/>
      <c r="AT43" s="143"/>
      <c r="AU43" s="99"/>
      <c r="AV43" s="100"/>
      <c r="AW43" s="100"/>
      <c r="AX43" s="100"/>
      <c r="AY43" s="99"/>
      <c r="AZ43" s="100"/>
      <c r="BA43" s="100"/>
      <c r="BB43" s="101"/>
    </row>
    <row r="44" ht="12.75" customHeight="1">
      <c r="A44" s="91" t="s">
        <v>118</v>
      </c>
      <c r="B44" s="142" t="s">
        <v>119</v>
      </c>
      <c r="C44" s="93" t="s">
        <v>50</v>
      </c>
      <c r="D44" s="94" t="str">
        <f>VLOOKUP(B44,'Матрица компетенций'!$A$4:$C$66,3,FALSE)</f>
        <v>ПКН-1</v>
      </c>
      <c r="E44" s="96"/>
      <c r="F44" s="95" t="s">
        <v>87</v>
      </c>
      <c r="G44" s="95"/>
      <c r="H44" s="95"/>
      <c r="I44" s="95"/>
      <c r="J44" s="95" t="s">
        <v>87</v>
      </c>
      <c r="K44" s="95"/>
      <c r="L44" s="110"/>
      <c r="M44" s="98">
        <f t="shared" si="40"/>
        <v>4</v>
      </c>
      <c r="N44" s="99">
        <f t="shared" si="41"/>
        <v>144</v>
      </c>
      <c r="O44" s="100">
        <f t="shared" si="42"/>
        <v>50</v>
      </c>
      <c r="P44" s="100">
        <f t="shared" ref="P44:R44" si="44">U44+Y44+AD44+AH44+AM44+AQ44+AV44+AZ44</f>
        <v>16</v>
      </c>
      <c r="Q44" s="100">
        <f t="shared" si="44"/>
        <v>34</v>
      </c>
      <c r="R44" s="101">
        <f t="shared" si="44"/>
        <v>94</v>
      </c>
      <c r="S44" s="102"/>
      <c r="T44" s="103"/>
      <c r="U44" s="100"/>
      <c r="V44" s="100"/>
      <c r="W44" s="100"/>
      <c r="X44" s="103"/>
      <c r="Y44" s="100"/>
      <c r="Z44" s="100"/>
      <c r="AA44" s="105"/>
      <c r="AB44" s="106">
        <v>4.0</v>
      </c>
      <c r="AC44" s="103">
        <v>3.0</v>
      </c>
      <c r="AD44" s="104">
        <v>16.0</v>
      </c>
      <c r="AE44" s="104">
        <v>34.0</v>
      </c>
      <c r="AF44" s="104">
        <v>94.0</v>
      </c>
      <c r="AG44" s="103"/>
      <c r="AH44" s="104"/>
      <c r="AI44" s="104"/>
      <c r="AJ44" s="120"/>
      <c r="AK44" s="102"/>
      <c r="AL44" s="103"/>
      <c r="AM44" s="100"/>
      <c r="AN44" s="100"/>
      <c r="AO44" s="100"/>
      <c r="AP44" s="103"/>
      <c r="AQ44" s="100"/>
      <c r="AR44" s="100"/>
      <c r="AS44" s="105"/>
      <c r="AT44" s="106"/>
      <c r="AU44" s="103"/>
      <c r="AV44" s="100"/>
      <c r="AW44" s="100"/>
      <c r="AX44" s="100"/>
      <c r="AY44" s="103"/>
      <c r="AZ44" s="100"/>
      <c r="BA44" s="100"/>
      <c r="BB44" s="101"/>
    </row>
    <row r="45" ht="12.75" customHeight="1">
      <c r="A45" s="91" t="s">
        <v>120</v>
      </c>
      <c r="B45" s="142" t="s">
        <v>121</v>
      </c>
      <c r="C45" s="93" t="s">
        <v>50</v>
      </c>
      <c r="D45" s="94" t="str">
        <f>VLOOKUP(B45,'Матрица компетенций'!$A$4:$C$66,3,FALSE)</f>
        <v>ПКН-1</v>
      </c>
      <c r="E45" s="95"/>
      <c r="F45" s="96" t="s">
        <v>68</v>
      </c>
      <c r="G45" s="95"/>
      <c r="H45" s="95"/>
      <c r="I45" s="95"/>
      <c r="J45" s="96" t="s">
        <v>68</v>
      </c>
      <c r="K45" s="95"/>
      <c r="L45" s="97"/>
      <c r="M45" s="98">
        <f t="shared" si="40"/>
        <v>3</v>
      </c>
      <c r="N45" s="99">
        <f t="shared" si="41"/>
        <v>108</v>
      </c>
      <c r="O45" s="100">
        <f t="shared" si="42"/>
        <v>34</v>
      </c>
      <c r="P45" s="100">
        <f t="shared" ref="P45:R45" si="45">U45+Y45+AD45+AH45+AM45+AQ45+AV45+AZ45</f>
        <v>16</v>
      </c>
      <c r="Q45" s="100">
        <f t="shared" si="45"/>
        <v>18</v>
      </c>
      <c r="R45" s="101">
        <f t="shared" si="45"/>
        <v>74</v>
      </c>
      <c r="S45" s="123"/>
      <c r="T45" s="99"/>
      <c r="U45" s="100"/>
      <c r="V45" s="100"/>
      <c r="W45" s="100"/>
      <c r="X45" s="99"/>
      <c r="Y45" s="100"/>
      <c r="Z45" s="100"/>
      <c r="AA45" s="105"/>
      <c r="AB45" s="143"/>
      <c r="AC45" s="99"/>
      <c r="AD45" s="100"/>
      <c r="AE45" s="100"/>
      <c r="AF45" s="100"/>
      <c r="AG45" s="99"/>
      <c r="AH45" s="100"/>
      <c r="AI45" s="100"/>
      <c r="AJ45" s="101"/>
      <c r="AK45" s="123"/>
      <c r="AL45" s="99"/>
      <c r="AM45" s="100"/>
      <c r="AN45" s="100"/>
      <c r="AO45" s="100"/>
      <c r="AP45" s="103">
        <v>2.0</v>
      </c>
      <c r="AQ45" s="100">
        <v>16.0</v>
      </c>
      <c r="AR45" s="100">
        <v>18.0</v>
      </c>
      <c r="AS45" s="100">
        <v>74.0</v>
      </c>
      <c r="AT45" s="106"/>
      <c r="AU45" s="103"/>
      <c r="AV45" s="100"/>
      <c r="AW45" s="100"/>
      <c r="AX45" s="100"/>
      <c r="AY45" s="99"/>
      <c r="AZ45" s="100"/>
      <c r="BA45" s="100"/>
      <c r="BB45" s="101"/>
    </row>
    <row r="46" ht="12.75" customHeight="1">
      <c r="A46" s="91" t="s">
        <v>122</v>
      </c>
      <c r="B46" s="142" t="s">
        <v>123</v>
      </c>
      <c r="C46" s="93" t="s">
        <v>50</v>
      </c>
      <c r="D46" s="94" t="str">
        <f>VLOOKUP(B46,'Матрица компетенций'!$A$4:$C$66,3,FALSE)</f>
        <v>ПКН-1</v>
      </c>
      <c r="E46" s="108"/>
      <c r="F46" s="109" t="s">
        <v>64</v>
      </c>
      <c r="G46" s="95"/>
      <c r="H46" s="95"/>
      <c r="I46" s="95"/>
      <c r="J46" s="108" t="s">
        <v>64</v>
      </c>
      <c r="K46" s="95"/>
      <c r="L46" s="97"/>
      <c r="M46" s="98">
        <f t="shared" si="40"/>
        <v>4</v>
      </c>
      <c r="N46" s="99">
        <f t="shared" si="41"/>
        <v>144</v>
      </c>
      <c r="O46" s="100">
        <f t="shared" si="42"/>
        <v>50</v>
      </c>
      <c r="P46" s="100">
        <f t="shared" ref="P46:R46" si="46">U46+Y46+AD46+AH46+AM46+AQ46+AV46+AZ46</f>
        <v>16</v>
      </c>
      <c r="Q46" s="100">
        <f t="shared" si="46"/>
        <v>34</v>
      </c>
      <c r="R46" s="101">
        <f t="shared" si="46"/>
        <v>94</v>
      </c>
      <c r="S46" s="123"/>
      <c r="T46" s="99"/>
      <c r="U46" s="100"/>
      <c r="V46" s="100"/>
      <c r="W46" s="100"/>
      <c r="X46" s="99"/>
      <c r="Y46" s="100"/>
      <c r="Z46" s="100"/>
      <c r="AA46" s="105"/>
      <c r="AB46" s="143">
        <v>4.0</v>
      </c>
      <c r="AC46" s="99"/>
      <c r="AD46" s="100"/>
      <c r="AE46" s="100"/>
      <c r="AF46" s="100"/>
      <c r="AG46" s="99">
        <v>3.0</v>
      </c>
      <c r="AH46" s="100">
        <v>16.0</v>
      </c>
      <c r="AI46" s="100">
        <v>34.0</v>
      </c>
      <c r="AJ46" s="101">
        <v>94.0</v>
      </c>
      <c r="AK46" s="123"/>
      <c r="AL46" s="99"/>
      <c r="AM46" s="100"/>
      <c r="AN46" s="100"/>
      <c r="AO46" s="100"/>
      <c r="AP46" s="99"/>
      <c r="AQ46" s="100"/>
      <c r="AR46" s="100"/>
      <c r="AS46" s="105"/>
      <c r="AT46" s="144"/>
      <c r="AU46" s="145"/>
      <c r="AV46" s="146"/>
      <c r="AW46" s="146"/>
      <c r="AX46" s="146"/>
      <c r="AY46" s="145"/>
      <c r="AZ46" s="146"/>
      <c r="BA46" s="146"/>
      <c r="BB46" s="147"/>
    </row>
    <row r="47" ht="12.75" customHeight="1">
      <c r="A47" s="91"/>
      <c r="B47" s="148" t="s">
        <v>124</v>
      </c>
      <c r="C47" s="93" t="s">
        <v>50</v>
      </c>
      <c r="D47" s="94" t="str">
        <f>VLOOKUP(B47,'Матрица компетенций'!$A$4:$C$66,3,FALSE)</f>
        <v>ПКН-2</v>
      </c>
      <c r="E47" s="108" t="s">
        <v>68</v>
      </c>
      <c r="F47" s="95"/>
      <c r="G47" s="95"/>
      <c r="H47" s="95"/>
      <c r="I47" s="95"/>
      <c r="J47" s="108" t="s">
        <v>68</v>
      </c>
      <c r="K47" s="95"/>
      <c r="L47" s="97"/>
      <c r="M47" s="98">
        <f t="shared" si="40"/>
        <v>4</v>
      </c>
      <c r="N47" s="99">
        <f t="shared" si="41"/>
        <v>144</v>
      </c>
      <c r="O47" s="100">
        <f t="shared" si="42"/>
        <v>50</v>
      </c>
      <c r="P47" s="100">
        <f t="shared" ref="P47:R47" si="47">U47+Y47+AD47+AH47+AM47+AQ47+AV47+AZ47</f>
        <v>16</v>
      </c>
      <c r="Q47" s="100">
        <f t="shared" si="47"/>
        <v>34</v>
      </c>
      <c r="R47" s="101">
        <f t="shared" si="47"/>
        <v>94</v>
      </c>
      <c r="S47" s="123"/>
      <c r="T47" s="99"/>
      <c r="U47" s="100"/>
      <c r="V47" s="100"/>
      <c r="W47" s="100"/>
      <c r="X47" s="99"/>
      <c r="Y47" s="100"/>
      <c r="Z47" s="100"/>
      <c r="AA47" s="105"/>
      <c r="AB47" s="143"/>
      <c r="AC47" s="99"/>
      <c r="AD47" s="100"/>
      <c r="AE47" s="100"/>
      <c r="AF47" s="100"/>
      <c r="AG47" s="99"/>
      <c r="AH47" s="100"/>
      <c r="AI47" s="100"/>
      <c r="AJ47" s="101"/>
      <c r="AK47" s="123">
        <v>4.0</v>
      </c>
      <c r="AL47" s="99"/>
      <c r="AM47" s="100"/>
      <c r="AN47" s="100"/>
      <c r="AO47" s="100"/>
      <c r="AP47" s="149">
        <v>3.0</v>
      </c>
      <c r="AQ47" s="150">
        <v>16.0</v>
      </c>
      <c r="AR47" s="150">
        <v>34.0</v>
      </c>
      <c r="AS47" s="151">
        <v>94.0</v>
      </c>
      <c r="AT47" s="144"/>
      <c r="AU47" s="145"/>
      <c r="AV47" s="146"/>
      <c r="AW47" s="146"/>
      <c r="AX47" s="146"/>
      <c r="AY47" s="145"/>
      <c r="AZ47" s="146"/>
      <c r="BA47" s="146"/>
      <c r="BB47" s="147"/>
    </row>
    <row r="48" ht="12.75" customHeight="1">
      <c r="A48" s="91"/>
      <c r="B48" s="142" t="s">
        <v>125</v>
      </c>
      <c r="C48" s="93" t="s">
        <v>50</v>
      </c>
      <c r="D48" s="94" t="str">
        <f>VLOOKUP(B48,'Матрица компетенций'!$A$4:$C$66,3,FALSE)</f>
        <v>ПКН-1</v>
      </c>
      <c r="E48" s="96" t="s">
        <v>64</v>
      </c>
      <c r="F48" s="95" t="s">
        <v>87</v>
      </c>
      <c r="G48" s="95"/>
      <c r="H48" s="95"/>
      <c r="I48" s="95"/>
      <c r="J48" s="96" t="s">
        <v>107</v>
      </c>
      <c r="K48" s="95"/>
      <c r="L48" s="97"/>
      <c r="M48" s="98">
        <f t="shared" si="40"/>
        <v>7</v>
      </c>
      <c r="N48" s="99">
        <f t="shared" si="41"/>
        <v>252</v>
      </c>
      <c r="O48" s="100">
        <f t="shared" si="42"/>
        <v>100</v>
      </c>
      <c r="P48" s="100">
        <f t="shared" ref="P48:R48" si="48">U48+Y48+AD48+AH48+AM48+AQ48+AV48+AZ48</f>
        <v>32</v>
      </c>
      <c r="Q48" s="100">
        <f t="shared" si="48"/>
        <v>68</v>
      </c>
      <c r="R48" s="101">
        <f t="shared" si="48"/>
        <v>152</v>
      </c>
      <c r="S48" s="123"/>
      <c r="T48" s="99"/>
      <c r="U48" s="100"/>
      <c r="V48" s="100"/>
      <c r="W48" s="100"/>
      <c r="X48" s="99"/>
      <c r="Y48" s="100"/>
      <c r="Z48" s="100"/>
      <c r="AA48" s="105"/>
      <c r="AB48" s="143">
        <v>4.0</v>
      </c>
      <c r="AC48" s="99">
        <v>3.0</v>
      </c>
      <c r="AD48" s="100">
        <v>16.0</v>
      </c>
      <c r="AE48" s="100">
        <v>34.0</v>
      </c>
      <c r="AF48" s="100">
        <v>58.0</v>
      </c>
      <c r="AG48" s="99">
        <v>3.0</v>
      </c>
      <c r="AH48" s="100">
        <v>16.0</v>
      </c>
      <c r="AI48" s="100">
        <v>34.0</v>
      </c>
      <c r="AJ48" s="101">
        <v>94.0</v>
      </c>
      <c r="AK48" s="123"/>
      <c r="AL48" s="99"/>
      <c r="AM48" s="100"/>
      <c r="AN48" s="100"/>
      <c r="AO48" s="100"/>
      <c r="AP48" s="121"/>
      <c r="AQ48" s="100"/>
      <c r="AR48" s="100"/>
      <c r="AS48" s="105"/>
      <c r="AT48" s="144"/>
      <c r="AU48" s="145"/>
      <c r="AV48" s="146"/>
      <c r="AW48" s="146"/>
      <c r="AX48" s="146"/>
      <c r="AY48" s="145"/>
      <c r="AZ48" s="146"/>
      <c r="BA48" s="146"/>
      <c r="BB48" s="147"/>
    </row>
    <row r="49" ht="12.75" customHeight="1">
      <c r="A49" s="91"/>
      <c r="B49" s="142" t="s">
        <v>126</v>
      </c>
      <c r="C49" s="116" t="s">
        <v>127</v>
      </c>
      <c r="D49" s="94" t="str">
        <f>VLOOKUP(B49,'Матрица компетенций'!$A$4:$C$66,3,FALSE)</f>
        <v>ПКН-6</v>
      </c>
      <c r="E49" s="96"/>
      <c r="F49" s="95" t="s">
        <v>64</v>
      </c>
      <c r="G49" s="95"/>
      <c r="H49" s="95"/>
      <c r="I49" s="95"/>
      <c r="J49" s="96" t="s">
        <v>64</v>
      </c>
      <c r="K49" s="95"/>
      <c r="L49" s="97"/>
      <c r="M49" s="98">
        <f t="shared" si="40"/>
        <v>4</v>
      </c>
      <c r="N49" s="99">
        <f t="shared" si="41"/>
        <v>144</v>
      </c>
      <c r="O49" s="100">
        <f t="shared" si="42"/>
        <v>50</v>
      </c>
      <c r="P49" s="100">
        <f t="shared" ref="P49:R49" si="49">U49+Y49+AD49+AH49+AM49+AQ49+AV49+AZ49</f>
        <v>16</v>
      </c>
      <c r="Q49" s="100">
        <f t="shared" si="49"/>
        <v>34</v>
      </c>
      <c r="R49" s="101">
        <f t="shared" si="49"/>
        <v>94</v>
      </c>
      <c r="S49" s="123"/>
      <c r="T49" s="99"/>
      <c r="U49" s="100"/>
      <c r="V49" s="100"/>
      <c r="W49" s="100"/>
      <c r="X49" s="99"/>
      <c r="Y49" s="100"/>
      <c r="Z49" s="100"/>
      <c r="AA49" s="105"/>
      <c r="AB49" s="143">
        <v>3.0</v>
      </c>
      <c r="AC49" s="99"/>
      <c r="AD49" s="100"/>
      <c r="AE49" s="100"/>
      <c r="AF49" s="100"/>
      <c r="AG49" s="99">
        <v>3.0</v>
      </c>
      <c r="AH49" s="100">
        <v>16.0</v>
      </c>
      <c r="AI49" s="100">
        <v>34.0</v>
      </c>
      <c r="AJ49" s="101">
        <v>94.0</v>
      </c>
      <c r="AK49" s="123"/>
      <c r="AL49" s="99"/>
      <c r="AM49" s="100"/>
      <c r="AN49" s="100"/>
      <c r="AO49" s="100"/>
      <c r="AP49" s="99"/>
      <c r="AQ49" s="100"/>
      <c r="AR49" s="100"/>
      <c r="AS49" s="105"/>
      <c r="AT49" s="144"/>
      <c r="AU49" s="145"/>
      <c r="AV49" s="146"/>
      <c r="AW49" s="146"/>
      <c r="AX49" s="146"/>
      <c r="AY49" s="145"/>
      <c r="AZ49" s="146"/>
      <c r="BA49" s="146"/>
      <c r="BB49" s="147"/>
    </row>
    <row r="50" ht="12.75" customHeight="1">
      <c r="A50" s="91"/>
      <c r="B50" s="142" t="s">
        <v>128</v>
      </c>
      <c r="C50" s="93" t="s">
        <v>50</v>
      </c>
      <c r="D50" s="94" t="str">
        <f>VLOOKUP(B50,'Матрица компетенций'!$A$4:$C$66,3,FALSE)</f>
        <v>ПКН-4</v>
      </c>
      <c r="E50" s="96" t="s">
        <v>69</v>
      </c>
      <c r="F50" s="95"/>
      <c r="G50" s="95"/>
      <c r="H50" s="95"/>
      <c r="I50" s="95"/>
      <c r="J50" s="96"/>
      <c r="K50" s="95"/>
      <c r="L50" s="97" t="s">
        <v>69</v>
      </c>
      <c r="M50" s="98">
        <f t="shared" si="40"/>
        <v>5</v>
      </c>
      <c r="N50" s="99">
        <f t="shared" si="41"/>
        <v>180</v>
      </c>
      <c r="O50" s="100">
        <f t="shared" si="42"/>
        <v>68</v>
      </c>
      <c r="P50" s="100">
        <f t="shared" ref="P50:R50" si="50">U50+Y50+AD50+AH50+AM50+AQ50+AV50+AZ50</f>
        <v>16</v>
      </c>
      <c r="Q50" s="100">
        <f t="shared" si="50"/>
        <v>52</v>
      </c>
      <c r="R50" s="101">
        <f t="shared" si="50"/>
        <v>112</v>
      </c>
      <c r="S50" s="123"/>
      <c r="T50" s="99"/>
      <c r="U50" s="100"/>
      <c r="V50" s="100"/>
      <c r="W50" s="100"/>
      <c r="X50" s="99"/>
      <c r="Y50" s="100"/>
      <c r="Z50" s="100"/>
      <c r="AA50" s="105"/>
      <c r="AB50" s="143"/>
      <c r="AC50" s="99"/>
      <c r="AD50" s="100"/>
      <c r="AE50" s="100"/>
      <c r="AF50" s="100"/>
      <c r="AG50" s="99"/>
      <c r="AH50" s="100"/>
      <c r="AI50" s="100"/>
      <c r="AJ50" s="101"/>
      <c r="AK50" s="123">
        <v>5.0</v>
      </c>
      <c r="AL50" s="99">
        <v>4.0</v>
      </c>
      <c r="AM50" s="100">
        <v>16.0</v>
      </c>
      <c r="AN50" s="100">
        <v>52.0</v>
      </c>
      <c r="AO50" s="100">
        <v>112.0</v>
      </c>
      <c r="AP50" s="121"/>
      <c r="AQ50" s="100"/>
      <c r="AR50" s="100"/>
      <c r="AS50" s="105"/>
      <c r="AT50" s="144"/>
      <c r="AU50" s="145"/>
      <c r="AV50" s="146"/>
      <c r="AW50" s="146"/>
      <c r="AX50" s="146"/>
      <c r="AY50" s="145"/>
      <c r="AZ50" s="146"/>
      <c r="BA50" s="146"/>
      <c r="BB50" s="147"/>
    </row>
    <row r="51" ht="12.75" customHeight="1">
      <c r="A51" s="78" t="s">
        <v>129</v>
      </c>
      <c r="B51" s="79" t="s">
        <v>130</v>
      </c>
      <c r="C51" s="152"/>
      <c r="D51" s="153"/>
      <c r="E51" s="154"/>
      <c r="F51" s="154"/>
      <c r="G51" s="154"/>
      <c r="H51" s="154"/>
      <c r="I51" s="154"/>
      <c r="J51" s="154"/>
      <c r="K51" s="154"/>
      <c r="L51" s="155"/>
      <c r="M51" s="118">
        <f t="shared" ref="M51:BB51" si="51">M52+M63</f>
        <v>60</v>
      </c>
      <c r="N51" s="86">
        <f t="shared" si="51"/>
        <v>2160</v>
      </c>
      <c r="O51" s="86">
        <f t="shared" si="51"/>
        <v>842</v>
      </c>
      <c r="P51" s="86">
        <f t="shared" si="51"/>
        <v>256</v>
      </c>
      <c r="Q51" s="86">
        <f t="shared" si="51"/>
        <v>586</v>
      </c>
      <c r="R51" s="87">
        <f t="shared" si="51"/>
        <v>1318</v>
      </c>
      <c r="S51" s="119">
        <f t="shared" si="51"/>
        <v>0</v>
      </c>
      <c r="T51" s="86">
        <f t="shared" si="51"/>
        <v>0</v>
      </c>
      <c r="U51" s="86">
        <f t="shared" si="51"/>
        <v>0</v>
      </c>
      <c r="V51" s="86">
        <f t="shared" si="51"/>
        <v>0</v>
      </c>
      <c r="W51" s="86">
        <f t="shared" si="51"/>
        <v>0</v>
      </c>
      <c r="X51" s="86">
        <f t="shared" si="51"/>
        <v>0</v>
      </c>
      <c r="Y51" s="86">
        <f t="shared" si="51"/>
        <v>0</v>
      </c>
      <c r="Z51" s="86">
        <f t="shared" si="51"/>
        <v>0</v>
      </c>
      <c r="AA51" s="90">
        <f t="shared" si="51"/>
        <v>0</v>
      </c>
      <c r="AB51" s="118">
        <f t="shared" si="51"/>
        <v>0</v>
      </c>
      <c r="AC51" s="86">
        <f t="shared" si="51"/>
        <v>0</v>
      </c>
      <c r="AD51" s="86">
        <f t="shared" si="51"/>
        <v>0</v>
      </c>
      <c r="AE51" s="86">
        <f t="shared" si="51"/>
        <v>0</v>
      </c>
      <c r="AF51" s="86">
        <f t="shared" si="51"/>
        <v>0</v>
      </c>
      <c r="AG51" s="86">
        <f t="shared" si="51"/>
        <v>0</v>
      </c>
      <c r="AH51" s="86">
        <f t="shared" si="51"/>
        <v>0</v>
      </c>
      <c r="AI51" s="86">
        <f t="shared" si="51"/>
        <v>0</v>
      </c>
      <c r="AJ51" s="87">
        <f t="shared" si="51"/>
        <v>0</v>
      </c>
      <c r="AK51" s="119">
        <f t="shared" si="51"/>
        <v>34</v>
      </c>
      <c r="AL51" s="86">
        <f t="shared" si="51"/>
        <v>8</v>
      </c>
      <c r="AM51" s="86">
        <f t="shared" si="51"/>
        <v>32</v>
      </c>
      <c r="AN51" s="86">
        <f t="shared" si="51"/>
        <v>104</v>
      </c>
      <c r="AO51" s="86">
        <f t="shared" si="51"/>
        <v>188</v>
      </c>
      <c r="AP51" s="86">
        <f t="shared" si="51"/>
        <v>20</v>
      </c>
      <c r="AQ51" s="86">
        <f t="shared" si="51"/>
        <v>112</v>
      </c>
      <c r="AR51" s="86">
        <f t="shared" si="51"/>
        <v>224</v>
      </c>
      <c r="AS51" s="90">
        <f t="shared" si="51"/>
        <v>564</v>
      </c>
      <c r="AT51" s="118">
        <f t="shared" si="51"/>
        <v>26</v>
      </c>
      <c r="AU51" s="86">
        <f t="shared" si="51"/>
        <v>22</v>
      </c>
      <c r="AV51" s="86">
        <f t="shared" si="51"/>
        <v>112</v>
      </c>
      <c r="AW51" s="86">
        <f t="shared" si="51"/>
        <v>258</v>
      </c>
      <c r="AX51" s="86">
        <f t="shared" si="51"/>
        <v>566</v>
      </c>
      <c r="AY51" s="86">
        <f t="shared" si="51"/>
        <v>0</v>
      </c>
      <c r="AZ51" s="86">
        <f t="shared" si="51"/>
        <v>0</v>
      </c>
      <c r="BA51" s="86">
        <f t="shared" si="51"/>
        <v>0</v>
      </c>
      <c r="BB51" s="87">
        <f t="shared" si="51"/>
        <v>0</v>
      </c>
    </row>
    <row r="52" ht="24.0" customHeight="1">
      <c r="A52" s="78" t="s">
        <v>129</v>
      </c>
      <c r="B52" s="79" t="s">
        <v>131</v>
      </c>
      <c r="C52" s="152"/>
      <c r="D52" s="153"/>
      <c r="E52" s="154"/>
      <c r="F52" s="154"/>
      <c r="G52" s="154"/>
      <c r="H52" s="154"/>
      <c r="I52" s="154"/>
      <c r="J52" s="154"/>
      <c r="K52" s="154"/>
      <c r="L52" s="155"/>
      <c r="M52" s="85">
        <f t="shared" ref="M52:BB52" si="52">SUM(M53:M62)</f>
        <v>42</v>
      </c>
      <c r="N52" s="86">
        <f t="shared" si="52"/>
        <v>1512</v>
      </c>
      <c r="O52" s="86">
        <f t="shared" si="52"/>
        <v>590</v>
      </c>
      <c r="P52" s="86">
        <f t="shared" si="52"/>
        <v>160</v>
      </c>
      <c r="Q52" s="86">
        <f t="shared" si="52"/>
        <v>430</v>
      </c>
      <c r="R52" s="87">
        <f t="shared" si="52"/>
        <v>922</v>
      </c>
      <c r="S52" s="119">
        <f t="shared" si="52"/>
        <v>0</v>
      </c>
      <c r="T52" s="86">
        <f t="shared" si="52"/>
        <v>0</v>
      </c>
      <c r="U52" s="86">
        <f t="shared" si="52"/>
        <v>0</v>
      </c>
      <c r="V52" s="86">
        <f t="shared" si="52"/>
        <v>0</v>
      </c>
      <c r="W52" s="86">
        <f t="shared" si="52"/>
        <v>0</v>
      </c>
      <c r="X52" s="86">
        <f t="shared" si="52"/>
        <v>0</v>
      </c>
      <c r="Y52" s="86">
        <f t="shared" si="52"/>
        <v>0</v>
      </c>
      <c r="Z52" s="86">
        <f t="shared" si="52"/>
        <v>0</v>
      </c>
      <c r="AA52" s="90">
        <f t="shared" si="52"/>
        <v>0</v>
      </c>
      <c r="AB52" s="118">
        <f t="shared" si="52"/>
        <v>0</v>
      </c>
      <c r="AC52" s="86">
        <f t="shared" si="52"/>
        <v>0</v>
      </c>
      <c r="AD52" s="86">
        <f t="shared" si="52"/>
        <v>0</v>
      </c>
      <c r="AE52" s="86">
        <f t="shared" si="52"/>
        <v>0</v>
      </c>
      <c r="AF52" s="86">
        <f t="shared" si="52"/>
        <v>0</v>
      </c>
      <c r="AG52" s="86">
        <f t="shared" si="52"/>
        <v>0</v>
      </c>
      <c r="AH52" s="86">
        <f t="shared" si="52"/>
        <v>0</v>
      </c>
      <c r="AI52" s="86">
        <f t="shared" si="52"/>
        <v>0</v>
      </c>
      <c r="AJ52" s="87">
        <f t="shared" si="52"/>
        <v>0</v>
      </c>
      <c r="AK52" s="119">
        <f t="shared" si="52"/>
        <v>25</v>
      </c>
      <c r="AL52" s="86">
        <f t="shared" si="52"/>
        <v>8</v>
      </c>
      <c r="AM52" s="86">
        <f t="shared" si="52"/>
        <v>32</v>
      </c>
      <c r="AN52" s="86">
        <f t="shared" si="52"/>
        <v>104</v>
      </c>
      <c r="AO52" s="86">
        <f t="shared" si="52"/>
        <v>188</v>
      </c>
      <c r="AP52" s="86">
        <f t="shared" si="52"/>
        <v>13</v>
      </c>
      <c r="AQ52" s="86">
        <f t="shared" si="52"/>
        <v>64</v>
      </c>
      <c r="AR52" s="86">
        <f t="shared" si="52"/>
        <v>154</v>
      </c>
      <c r="AS52" s="90">
        <f t="shared" si="52"/>
        <v>358</v>
      </c>
      <c r="AT52" s="118">
        <f t="shared" si="52"/>
        <v>17</v>
      </c>
      <c r="AU52" s="86">
        <f t="shared" si="52"/>
        <v>14</v>
      </c>
      <c r="AV52" s="86">
        <f t="shared" si="52"/>
        <v>64</v>
      </c>
      <c r="AW52" s="86">
        <f t="shared" si="52"/>
        <v>172</v>
      </c>
      <c r="AX52" s="86">
        <f t="shared" si="52"/>
        <v>376</v>
      </c>
      <c r="AY52" s="86">
        <f t="shared" si="52"/>
        <v>0</v>
      </c>
      <c r="AZ52" s="86">
        <f t="shared" si="52"/>
        <v>0</v>
      </c>
      <c r="BA52" s="86">
        <f t="shared" si="52"/>
        <v>0</v>
      </c>
      <c r="BB52" s="87">
        <f t="shared" si="52"/>
        <v>0</v>
      </c>
    </row>
    <row r="53" ht="12.75" customHeight="1">
      <c r="A53" s="91" t="s">
        <v>132</v>
      </c>
      <c r="B53" s="156" t="s">
        <v>133</v>
      </c>
      <c r="C53" s="93" t="s">
        <v>50</v>
      </c>
      <c r="D53" s="94" t="str">
        <f>VLOOKUP(B53,'Матрица компетенций'!$A$4:$C$66,3,FALSE)</f>
        <v>ПКП-1, ПКП-5</v>
      </c>
      <c r="E53" s="96" t="s">
        <v>69</v>
      </c>
      <c r="F53" s="95"/>
      <c r="G53" s="95"/>
      <c r="H53" s="95"/>
      <c r="I53" s="95"/>
      <c r="J53" s="95" t="s">
        <v>69</v>
      </c>
      <c r="K53" s="96"/>
      <c r="L53" s="97"/>
      <c r="M53" s="98">
        <f t="shared" ref="M53:M62" si="54">N53/36</f>
        <v>5</v>
      </c>
      <c r="N53" s="99">
        <f t="shared" ref="N53:N62" si="55">O53+R53</f>
        <v>180</v>
      </c>
      <c r="O53" s="100">
        <f t="shared" ref="O53:O62" si="56">P53+Q53</f>
        <v>68</v>
      </c>
      <c r="P53" s="100">
        <f t="shared" ref="P53:R53" si="53">U53+Y53+AD53+AH53+AM53+AQ53+AV53+AZ53</f>
        <v>16</v>
      </c>
      <c r="Q53" s="100">
        <f t="shared" si="53"/>
        <v>52</v>
      </c>
      <c r="R53" s="101">
        <f t="shared" si="53"/>
        <v>112</v>
      </c>
      <c r="S53" s="123"/>
      <c r="T53" s="99"/>
      <c r="U53" s="100"/>
      <c r="V53" s="100"/>
      <c r="W53" s="100"/>
      <c r="X53" s="99"/>
      <c r="Y53" s="100"/>
      <c r="Z53" s="100"/>
      <c r="AA53" s="105"/>
      <c r="AB53" s="143"/>
      <c r="AC53" s="99"/>
      <c r="AD53" s="100"/>
      <c r="AE53" s="100"/>
      <c r="AF53" s="157"/>
      <c r="AG53" s="99"/>
      <c r="AH53" s="100"/>
      <c r="AI53" s="100"/>
      <c r="AJ53" s="101"/>
      <c r="AK53" s="123">
        <v>5.0</v>
      </c>
      <c r="AL53" s="99">
        <v>4.0</v>
      </c>
      <c r="AM53" s="100">
        <v>16.0</v>
      </c>
      <c r="AN53" s="100">
        <v>52.0</v>
      </c>
      <c r="AO53" s="100">
        <v>112.0</v>
      </c>
      <c r="AP53" s="99"/>
      <c r="AQ53" s="100"/>
      <c r="AR53" s="100"/>
      <c r="AS53" s="105"/>
      <c r="AT53" s="143"/>
      <c r="AU53" s="99"/>
      <c r="AV53" s="100"/>
      <c r="AW53" s="100"/>
      <c r="AX53" s="100"/>
      <c r="AY53" s="99"/>
      <c r="AZ53" s="100"/>
      <c r="BA53" s="100"/>
      <c r="BB53" s="101"/>
    </row>
    <row r="54" ht="12.75" customHeight="1">
      <c r="A54" s="124" t="s">
        <v>134</v>
      </c>
      <c r="B54" s="156" t="s">
        <v>135</v>
      </c>
      <c r="C54" s="93" t="s">
        <v>50</v>
      </c>
      <c r="D54" s="94" t="str">
        <f>VLOOKUP(B54,'Матрица компетенций'!$A$4:$C$66,3,FALSE)</f>
        <v>ПКП-1, ПКП-5</v>
      </c>
      <c r="E54" s="95" t="s">
        <v>68</v>
      </c>
      <c r="F54" s="95"/>
      <c r="G54" s="95"/>
      <c r="H54" s="95"/>
      <c r="I54" s="95"/>
      <c r="J54" s="95" t="s">
        <v>68</v>
      </c>
      <c r="K54" s="95"/>
      <c r="L54" s="97"/>
      <c r="M54" s="98">
        <f t="shared" si="54"/>
        <v>4</v>
      </c>
      <c r="N54" s="99">
        <f t="shared" si="55"/>
        <v>144</v>
      </c>
      <c r="O54" s="100">
        <f t="shared" si="56"/>
        <v>68</v>
      </c>
      <c r="P54" s="100">
        <f t="shared" ref="P54:R54" si="57">U54+Y54+AD54+AH54+AM54+AQ54+AV54+AZ54</f>
        <v>16</v>
      </c>
      <c r="Q54" s="100">
        <f t="shared" si="57"/>
        <v>52</v>
      </c>
      <c r="R54" s="101">
        <f t="shared" si="57"/>
        <v>76</v>
      </c>
      <c r="S54" s="123"/>
      <c r="T54" s="99"/>
      <c r="U54" s="158"/>
      <c r="V54" s="157"/>
      <c r="W54" s="157"/>
      <c r="X54" s="99"/>
      <c r="Y54" s="158"/>
      <c r="Z54" s="157"/>
      <c r="AA54" s="159"/>
      <c r="AB54" s="143"/>
      <c r="AC54" s="99"/>
      <c r="AD54" s="157"/>
      <c r="AE54" s="157"/>
      <c r="AF54" s="157"/>
      <c r="AG54" s="99"/>
      <c r="AH54" s="157"/>
      <c r="AI54" s="157"/>
      <c r="AJ54" s="160"/>
      <c r="AK54" s="123">
        <v>4.0</v>
      </c>
      <c r="AL54" s="99"/>
      <c r="AM54" s="100"/>
      <c r="AN54" s="100"/>
      <c r="AO54" s="100"/>
      <c r="AP54" s="99">
        <v>4.0</v>
      </c>
      <c r="AQ54" s="100">
        <v>16.0</v>
      </c>
      <c r="AR54" s="100">
        <v>52.0</v>
      </c>
      <c r="AS54" s="100">
        <v>76.0</v>
      </c>
      <c r="AT54" s="143"/>
      <c r="AU54" s="99"/>
      <c r="AV54" s="125"/>
      <c r="AW54" s="125"/>
      <c r="AX54" s="125"/>
      <c r="AY54" s="103"/>
      <c r="AZ54" s="125"/>
      <c r="BA54" s="125"/>
      <c r="BB54" s="127"/>
    </row>
    <row r="55" ht="23.25" customHeight="1">
      <c r="A55" s="124" t="s">
        <v>136</v>
      </c>
      <c r="B55" s="156" t="s">
        <v>137</v>
      </c>
      <c r="C55" s="93" t="s">
        <v>50</v>
      </c>
      <c r="D55" s="94" t="str">
        <f>VLOOKUP(B55,'Матрица компетенций'!$A$4:$C$66,3,FALSE)</f>
        <v>ПКП-2</v>
      </c>
      <c r="E55" s="95" t="s">
        <v>68</v>
      </c>
      <c r="F55" s="95"/>
      <c r="G55" s="95"/>
      <c r="H55" s="95"/>
      <c r="I55" s="95"/>
      <c r="J55" s="95"/>
      <c r="K55" s="95"/>
      <c r="L55" s="97" t="s">
        <v>68</v>
      </c>
      <c r="M55" s="98">
        <f t="shared" si="54"/>
        <v>4</v>
      </c>
      <c r="N55" s="99">
        <f t="shared" si="55"/>
        <v>144</v>
      </c>
      <c r="O55" s="100">
        <f t="shared" si="56"/>
        <v>50</v>
      </c>
      <c r="P55" s="100">
        <f t="shared" ref="P55:R55" si="58">U55+Y55+AD55+AH55+AM55+AQ55+AV55+AZ55</f>
        <v>16</v>
      </c>
      <c r="Q55" s="100">
        <f t="shared" si="58"/>
        <v>34</v>
      </c>
      <c r="R55" s="101">
        <f t="shared" si="58"/>
        <v>94</v>
      </c>
      <c r="S55" s="123"/>
      <c r="T55" s="99"/>
      <c r="U55" s="158"/>
      <c r="V55" s="157"/>
      <c r="W55" s="157"/>
      <c r="X55" s="99"/>
      <c r="Y55" s="158"/>
      <c r="Z55" s="157"/>
      <c r="AA55" s="159"/>
      <c r="AB55" s="143"/>
      <c r="AC55" s="99"/>
      <c r="AD55" s="157"/>
      <c r="AE55" s="157"/>
      <c r="AF55" s="157"/>
      <c r="AG55" s="99"/>
      <c r="AH55" s="157"/>
      <c r="AI55" s="157"/>
      <c r="AJ55" s="160"/>
      <c r="AK55" s="123">
        <v>4.0</v>
      </c>
      <c r="AL55" s="99"/>
      <c r="AM55" s="125"/>
      <c r="AN55" s="125"/>
      <c r="AO55" s="125"/>
      <c r="AP55" s="99">
        <v>3.0</v>
      </c>
      <c r="AQ55" s="100">
        <v>16.0</v>
      </c>
      <c r="AR55" s="100">
        <v>34.0</v>
      </c>
      <c r="AS55" s="105">
        <v>94.0</v>
      </c>
      <c r="AT55" s="161"/>
      <c r="AU55" s="99"/>
      <c r="AV55" s="100"/>
      <c r="AW55" s="100"/>
      <c r="AX55" s="100"/>
      <c r="AY55" s="103"/>
      <c r="AZ55" s="125"/>
      <c r="BA55" s="125"/>
      <c r="BB55" s="127"/>
    </row>
    <row r="56" ht="12.75" customHeight="1">
      <c r="A56" s="124" t="s">
        <v>138</v>
      </c>
      <c r="B56" s="162" t="s">
        <v>139</v>
      </c>
      <c r="C56" s="93" t="s">
        <v>50</v>
      </c>
      <c r="D56" s="94" t="str">
        <f>VLOOKUP(B56,'Матрица компетенций'!$A$4:$C$66,3,FALSE)</f>
        <v>ПКП-3</v>
      </c>
      <c r="E56" s="95" t="s">
        <v>80</v>
      </c>
      <c r="F56" s="95"/>
      <c r="G56" s="95"/>
      <c r="H56" s="95"/>
      <c r="I56" s="95"/>
      <c r="J56" s="95" t="s">
        <v>80</v>
      </c>
      <c r="K56" s="95"/>
      <c r="L56" s="97"/>
      <c r="M56" s="98">
        <f t="shared" si="54"/>
        <v>4</v>
      </c>
      <c r="N56" s="99">
        <f t="shared" si="55"/>
        <v>144</v>
      </c>
      <c r="O56" s="100">
        <f t="shared" si="56"/>
        <v>50</v>
      </c>
      <c r="P56" s="100">
        <f t="shared" ref="P56:R56" si="59">U56+Y56+AD56+AH56+AM56+AQ56+AV56+AZ56</f>
        <v>16</v>
      </c>
      <c r="Q56" s="100">
        <f t="shared" si="59"/>
        <v>34</v>
      </c>
      <c r="R56" s="101">
        <f t="shared" si="59"/>
        <v>94</v>
      </c>
      <c r="S56" s="123"/>
      <c r="T56" s="99"/>
      <c r="U56" s="158"/>
      <c r="V56" s="157"/>
      <c r="W56" s="157"/>
      <c r="X56" s="99"/>
      <c r="Y56" s="158"/>
      <c r="Z56" s="157"/>
      <c r="AA56" s="159"/>
      <c r="AB56" s="143"/>
      <c r="AC56" s="99"/>
      <c r="AD56" s="157"/>
      <c r="AE56" s="157"/>
      <c r="AF56" s="157"/>
      <c r="AG56" s="99"/>
      <c r="AH56" s="157"/>
      <c r="AI56" s="157"/>
      <c r="AJ56" s="160"/>
      <c r="AK56" s="123"/>
      <c r="AL56" s="99"/>
      <c r="AM56" s="125"/>
      <c r="AN56" s="125"/>
      <c r="AO56" s="125"/>
      <c r="AP56" s="99"/>
      <c r="AQ56" s="125"/>
      <c r="AR56" s="125"/>
      <c r="AS56" s="126"/>
      <c r="AT56" s="161">
        <v>4.0</v>
      </c>
      <c r="AU56" s="99">
        <v>3.0</v>
      </c>
      <c r="AV56" s="100">
        <v>16.0</v>
      </c>
      <c r="AW56" s="100">
        <v>34.0</v>
      </c>
      <c r="AX56" s="100">
        <v>94.0</v>
      </c>
      <c r="AY56" s="103"/>
      <c r="AZ56" s="125"/>
      <c r="BA56" s="125"/>
      <c r="BB56" s="127"/>
    </row>
    <row r="57" ht="12.75" customHeight="1">
      <c r="A57" s="124" t="s">
        <v>140</v>
      </c>
      <c r="B57" s="156" t="s">
        <v>141</v>
      </c>
      <c r="C57" s="93" t="s">
        <v>50</v>
      </c>
      <c r="D57" s="94" t="str">
        <f>VLOOKUP(B57,'Матрица компетенций'!$A$4:$C$66,3,FALSE)</f>
        <v>ПКП-1, ПКП-6</v>
      </c>
      <c r="E57" s="95" t="s">
        <v>80</v>
      </c>
      <c r="F57" s="95"/>
      <c r="G57" s="95"/>
      <c r="H57" s="95"/>
      <c r="I57" s="95"/>
      <c r="J57" s="95"/>
      <c r="K57" s="95"/>
      <c r="L57" s="97" t="s">
        <v>80</v>
      </c>
      <c r="M57" s="98">
        <f t="shared" si="54"/>
        <v>4</v>
      </c>
      <c r="N57" s="99">
        <f t="shared" si="55"/>
        <v>144</v>
      </c>
      <c r="O57" s="100">
        <f t="shared" si="56"/>
        <v>50</v>
      </c>
      <c r="P57" s="100">
        <f t="shared" ref="P57:R57" si="60">U57+Y57+AD57+AH57+AM57+AQ57+AV57+AZ57</f>
        <v>16</v>
      </c>
      <c r="Q57" s="100">
        <f t="shared" si="60"/>
        <v>34</v>
      </c>
      <c r="R57" s="101">
        <f t="shared" si="60"/>
        <v>94</v>
      </c>
      <c r="S57" s="123"/>
      <c r="T57" s="99"/>
      <c r="U57" s="158"/>
      <c r="V57" s="157"/>
      <c r="W57" s="157"/>
      <c r="X57" s="99"/>
      <c r="Y57" s="158"/>
      <c r="Z57" s="157"/>
      <c r="AA57" s="159"/>
      <c r="AB57" s="143"/>
      <c r="AC57" s="99"/>
      <c r="AD57" s="157"/>
      <c r="AE57" s="157"/>
      <c r="AF57" s="157"/>
      <c r="AG57" s="99"/>
      <c r="AH57" s="157"/>
      <c r="AI57" s="157"/>
      <c r="AJ57" s="160"/>
      <c r="AK57" s="123"/>
      <c r="AL57" s="99"/>
      <c r="AM57" s="100"/>
      <c r="AN57" s="100"/>
      <c r="AO57" s="100"/>
      <c r="AP57" s="99"/>
      <c r="AQ57" s="100"/>
      <c r="AR57" s="100"/>
      <c r="AS57" s="105"/>
      <c r="AT57" s="161">
        <v>4.0</v>
      </c>
      <c r="AU57" s="99">
        <v>3.0</v>
      </c>
      <c r="AV57" s="100">
        <v>16.0</v>
      </c>
      <c r="AW57" s="100">
        <v>34.0</v>
      </c>
      <c r="AX57" s="100">
        <v>94.0</v>
      </c>
      <c r="AY57" s="103"/>
      <c r="AZ57" s="125"/>
      <c r="BA57" s="125"/>
      <c r="BB57" s="127"/>
    </row>
    <row r="58" ht="12.75" customHeight="1">
      <c r="A58" s="124" t="s">
        <v>142</v>
      </c>
      <c r="B58" s="162" t="s">
        <v>143</v>
      </c>
      <c r="C58" s="93" t="s">
        <v>50</v>
      </c>
      <c r="D58" s="94" t="str">
        <f>VLOOKUP(B58,'Матрица компетенций'!$A$4:$C$66,3,FALSE)</f>
        <v>ПКП-1</v>
      </c>
      <c r="E58" s="95" t="s">
        <v>68</v>
      </c>
      <c r="F58" s="95"/>
      <c r="G58" s="95"/>
      <c r="H58" s="95"/>
      <c r="I58" s="95"/>
      <c r="J58" s="95" t="s">
        <v>68</v>
      </c>
      <c r="K58" s="95"/>
      <c r="L58" s="97"/>
      <c r="M58" s="98">
        <f t="shared" si="54"/>
        <v>4</v>
      </c>
      <c r="N58" s="99">
        <f t="shared" si="55"/>
        <v>144</v>
      </c>
      <c r="O58" s="100">
        <f t="shared" si="56"/>
        <v>50</v>
      </c>
      <c r="P58" s="100">
        <f t="shared" ref="P58:R58" si="61">U58+Y58+AD58+AH58+AM58+AQ58+AV58+AZ58</f>
        <v>16</v>
      </c>
      <c r="Q58" s="100">
        <f t="shared" si="61"/>
        <v>34</v>
      </c>
      <c r="R58" s="101">
        <f t="shared" si="61"/>
        <v>94</v>
      </c>
      <c r="S58" s="123"/>
      <c r="T58" s="99"/>
      <c r="U58" s="158"/>
      <c r="V58" s="157"/>
      <c r="W58" s="157"/>
      <c r="X58" s="99"/>
      <c r="Y58" s="158"/>
      <c r="Z58" s="157"/>
      <c r="AA58" s="159"/>
      <c r="AB58" s="143"/>
      <c r="AC58" s="99"/>
      <c r="AD58" s="157"/>
      <c r="AE58" s="157"/>
      <c r="AF58" s="157"/>
      <c r="AG58" s="99"/>
      <c r="AH58" s="157"/>
      <c r="AI58" s="157"/>
      <c r="AJ58" s="160"/>
      <c r="AK58" s="123">
        <v>4.0</v>
      </c>
      <c r="AL58" s="99"/>
      <c r="AM58" s="100"/>
      <c r="AN58" s="100"/>
      <c r="AO58" s="100"/>
      <c r="AP58" s="99">
        <v>3.0</v>
      </c>
      <c r="AQ58" s="100">
        <v>16.0</v>
      </c>
      <c r="AR58" s="100">
        <v>34.0</v>
      </c>
      <c r="AS58" s="100">
        <v>94.0</v>
      </c>
      <c r="AT58" s="161"/>
      <c r="AU58" s="99"/>
      <c r="AV58" s="125"/>
      <c r="AW58" s="125"/>
      <c r="AX58" s="125"/>
      <c r="AY58" s="103"/>
      <c r="AZ58" s="125"/>
      <c r="BA58" s="125"/>
      <c r="BB58" s="127"/>
    </row>
    <row r="59" ht="21.75" customHeight="1">
      <c r="A59" s="124" t="s">
        <v>144</v>
      </c>
      <c r="B59" s="156" t="s">
        <v>145</v>
      </c>
      <c r="C59" s="93" t="s">
        <v>50</v>
      </c>
      <c r="D59" s="94" t="str">
        <f>VLOOKUP(B59,'Матрица компетенций'!$A$4:$C$66,3,FALSE)</f>
        <v>ПКП-2</v>
      </c>
      <c r="E59" s="95"/>
      <c r="F59" s="95" t="s">
        <v>68</v>
      </c>
      <c r="G59" s="95" t="s">
        <v>68</v>
      </c>
      <c r="H59" s="95"/>
      <c r="I59" s="95"/>
      <c r="J59" s="95"/>
      <c r="K59" s="95"/>
      <c r="L59" s="97"/>
      <c r="M59" s="98">
        <f t="shared" si="54"/>
        <v>4</v>
      </c>
      <c r="N59" s="99">
        <f t="shared" si="55"/>
        <v>144</v>
      </c>
      <c r="O59" s="100">
        <f t="shared" si="56"/>
        <v>50</v>
      </c>
      <c r="P59" s="100">
        <f t="shared" ref="P59:R59" si="62">U59+Y59+AD59+AH59+AM59+AQ59+AV59+AZ59</f>
        <v>16</v>
      </c>
      <c r="Q59" s="100">
        <f t="shared" si="62"/>
        <v>34</v>
      </c>
      <c r="R59" s="101">
        <f t="shared" si="62"/>
        <v>94</v>
      </c>
      <c r="S59" s="123"/>
      <c r="T59" s="99"/>
      <c r="U59" s="158"/>
      <c r="V59" s="157"/>
      <c r="W59" s="157"/>
      <c r="X59" s="99"/>
      <c r="Y59" s="158"/>
      <c r="Z59" s="157"/>
      <c r="AA59" s="159"/>
      <c r="AB59" s="143"/>
      <c r="AC59" s="99"/>
      <c r="AD59" s="157"/>
      <c r="AE59" s="157"/>
      <c r="AF59" s="157"/>
      <c r="AG59" s="99"/>
      <c r="AH59" s="157"/>
      <c r="AI59" s="157"/>
      <c r="AJ59" s="160"/>
      <c r="AK59" s="123">
        <v>4.0</v>
      </c>
      <c r="AL59" s="99"/>
      <c r="AM59" s="100"/>
      <c r="AN59" s="100"/>
      <c r="AO59" s="100"/>
      <c r="AP59" s="99">
        <v>3.0</v>
      </c>
      <c r="AQ59" s="100">
        <v>16.0</v>
      </c>
      <c r="AR59" s="100">
        <v>34.0</v>
      </c>
      <c r="AS59" s="100">
        <v>94.0</v>
      </c>
      <c r="AT59" s="161"/>
      <c r="AU59" s="99"/>
      <c r="AV59" s="100"/>
      <c r="AW59" s="100"/>
      <c r="AX59" s="100"/>
      <c r="AY59" s="103"/>
      <c r="AZ59" s="125"/>
      <c r="BA59" s="125"/>
      <c r="BB59" s="127"/>
    </row>
    <row r="60" ht="12.75" customHeight="1">
      <c r="A60" s="124"/>
      <c r="B60" s="156" t="s">
        <v>146</v>
      </c>
      <c r="C60" s="93" t="s">
        <v>50</v>
      </c>
      <c r="D60" s="94" t="str">
        <f>VLOOKUP(B60,'Матрица компетенций'!$A$4:$C$66,3,FALSE)</f>
        <v>ПКП-4</v>
      </c>
      <c r="E60" s="95"/>
      <c r="F60" s="95" t="s">
        <v>69</v>
      </c>
      <c r="G60" s="95"/>
      <c r="H60" s="95"/>
      <c r="I60" s="95"/>
      <c r="J60" s="95" t="s">
        <v>69</v>
      </c>
      <c r="K60" s="95"/>
      <c r="L60" s="97"/>
      <c r="M60" s="98">
        <f t="shared" si="54"/>
        <v>4</v>
      </c>
      <c r="N60" s="99">
        <f t="shared" si="55"/>
        <v>144</v>
      </c>
      <c r="O60" s="100">
        <f t="shared" si="56"/>
        <v>68</v>
      </c>
      <c r="P60" s="100">
        <f t="shared" ref="P60:R60" si="63">U60+Y60+AD60+AH60+AM60+AQ60+AV60+AZ60</f>
        <v>16</v>
      </c>
      <c r="Q60" s="100">
        <f t="shared" si="63"/>
        <v>52</v>
      </c>
      <c r="R60" s="101">
        <f t="shared" si="63"/>
        <v>76</v>
      </c>
      <c r="S60" s="123"/>
      <c r="T60" s="99"/>
      <c r="U60" s="158"/>
      <c r="V60" s="157"/>
      <c r="W60" s="157"/>
      <c r="X60" s="99"/>
      <c r="Y60" s="158"/>
      <c r="Z60" s="157"/>
      <c r="AA60" s="159"/>
      <c r="AB60" s="143"/>
      <c r="AC60" s="99"/>
      <c r="AD60" s="157"/>
      <c r="AE60" s="157"/>
      <c r="AF60" s="157"/>
      <c r="AG60" s="99"/>
      <c r="AH60" s="157"/>
      <c r="AI60" s="157"/>
      <c r="AJ60" s="160"/>
      <c r="AK60" s="123">
        <v>4.0</v>
      </c>
      <c r="AL60" s="99">
        <v>4.0</v>
      </c>
      <c r="AM60" s="100">
        <v>16.0</v>
      </c>
      <c r="AN60" s="100">
        <v>52.0</v>
      </c>
      <c r="AO60" s="105">
        <v>76.0</v>
      </c>
      <c r="AP60" s="99"/>
      <c r="AQ60" s="100"/>
      <c r="AR60" s="100"/>
      <c r="AS60" s="105"/>
      <c r="AT60" s="161"/>
      <c r="AU60" s="99"/>
      <c r="AV60" s="100"/>
      <c r="AW60" s="100"/>
      <c r="AX60" s="100"/>
      <c r="AY60" s="103"/>
      <c r="AZ60" s="125"/>
      <c r="BA60" s="125"/>
      <c r="BB60" s="127"/>
    </row>
    <row r="61" ht="12.75" customHeight="1">
      <c r="A61" s="124"/>
      <c r="B61" s="156" t="s">
        <v>147</v>
      </c>
      <c r="C61" s="116" t="s">
        <v>127</v>
      </c>
      <c r="D61" s="94" t="str">
        <f>VLOOKUP(B61,'Матрица компетенций'!$A$4:$C$66,3,FALSE)</f>
        <v>ПКП-2</v>
      </c>
      <c r="E61" s="95"/>
      <c r="F61" s="95" t="s">
        <v>80</v>
      </c>
      <c r="G61" s="95"/>
      <c r="H61" s="95"/>
      <c r="I61" s="95"/>
      <c r="J61" s="95" t="s">
        <v>80</v>
      </c>
      <c r="K61" s="95"/>
      <c r="L61" s="97"/>
      <c r="M61" s="98">
        <f t="shared" si="54"/>
        <v>5</v>
      </c>
      <c r="N61" s="99">
        <f t="shared" si="55"/>
        <v>180</v>
      </c>
      <c r="O61" s="100">
        <f t="shared" si="56"/>
        <v>68</v>
      </c>
      <c r="P61" s="100">
        <f t="shared" ref="P61:R61" si="64">U61+Y61+AD61+AH61+AM61+AQ61+AV61+AZ61</f>
        <v>16</v>
      </c>
      <c r="Q61" s="100">
        <f t="shared" si="64"/>
        <v>52</v>
      </c>
      <c r="R61" s="101">
        <f t="shared" si="64"/>
        <v>112</v>
      </c>
      <c r="S61" s="123"/>
      <c r="T61" s="99"/>
      <c r="U61" s="158"/>
      <c r="V61" s="157"/>
      <c r="W61" s="157"/>
      <c r="X61" s="99"/>
      <c r="Y61" s="158"/>
      <c r="Z61" s="157"/>
      <c r="AA61" s="159"/>
      <c r="AB61" s="143"/>
      <c r="AC61" s="99"/>
      <c r="AD61" s="157"/>
      <c r="AE61" s="157"/>
      <c r="AF61" s="157"/>
      <c r="AG61" s="99"/>
      <c r="AH61" s="157"/>
      <c r="AI61" s="157"/>
      <c r="AJ61" s="160"/>
      <c r="AK61" s="123"/>
      <c r="AL61" s="99"/>
      <c r="AM61" s="100"/>
      <c r="AN61" s="100"/>
      <c r="AO61" s="100"/>
      <c r="AP61" s="99"/>
      <c r="AQ61" s="100"/>
      <c r="AR61" s="100"/>
      <c r="AS61" s="105"/>
      <c r="AT61" s="161">
        <v>5.0</v>
      </c>
      <c r="AU61" s="99">
        <v>4.0</v>
      </c>
      <c r="AV61" s="100">
        <v>16.0</v>
      </c>
      <c r="AW61" s="100">
        <v>52.0</v>
      </c>
      <c r="AX61" s="105">
        <v>112.0</v>
      </c>
      <c r="AY61" s="103"/>
      <c r="AZ61" s="125"/>
      <c r="BA61" s="125"/>
      <c r="BB61" s="127"/>
    </row>
    <row r="62" ht="12.75" customHeight="1">
      <c r="A62" s="124" t="s">
        <v>148</v>
      </c>
      <c r="B62" s="156" t="s">
        <v>149</v>
      </c>
      <c r="C62" s="93" t="s">
        <v>50</v>
      </c>
      <c r="D62" s="94" t="str">
        <f>VLOOKUP(B62,'Матрица компетенций'!$A$4:$C$66,3,FALSE)</f>
        <v>ПКП-1, ПКП-3</v>
      </c>
      <c r="E62" s="95"/>
      <c r="F62" s="95" t="s">
        <v>80</v>
      </c>
      <c r="G62" s="95"/>
      <c r="H62" s="95"/>
      <c r="I62" s="95"/>
      <c r="J62" s="95" t="s">
        <v>80</v>
      </c>
      <c r="K62" s="95"/>
      <c r="L62" s="97"/>
      <c r="M62" s="98">
        <f t="shared" si="54"/>
        <v>4</v>
      </c>
      <c r="N62" s="99">
        <f t="shared" si="55"/>
        <v>144</v>
      </c>
      <c r="O62" s="100">
        <f t="shared" si="56"/>
        <v>68</v>
      </c>
      <c r="P62" s="100">
        <f t="shared" ref="P62:R62" si="65">U62+Y62+AD62+AH62+AM62+AQ62+AV62+AZ62</f>
        <v>16</v>
      </c>
      <c r="Q62" s="100">
        <f t="shared" si="65"/>
        <v>52</v>
      </c>
      <c r="R62" s="101">
        <f t="shared" si="65"/>
        <v>76</v>
      </c>
      <c r="S62" s="123"/>
      <c r="T62" s="99"/>
      <c r="U62" s="158"/>
      <c r="V62" s="157"/>
      <c r="W62" s="157"/>
      <c r="X62" s="99"/>
      <c r="Y62" s="158"/>
      <c r="Z62" s="157"/>
      <c r="AA62" s="159"/>
      <c r="AB62" s="143"/>
      <c r="AC62" s="99"/>
      <c r="AD62" s="157"/>
      <c r="AE62" s="157"/>
      <c r="AF62" s="157"/>
      <c r="AG62" s="99"/>
      <c r="AH62" s="157"/>
      <c r="AI62" s="157"/>
      <c r="AJ62" s="160"/>
      <c r="AK62" s="123"/>
      <c r="AL62" s="99"/>
      <c r="AM62" s="100"/>
      <c r="AN62" s="100"/>
      <c r="AO62" s="100"/>
      <c r="AP62" s="99"/>
      <c r="AQ62" s="100"/>
      <c r="AR62" s="100"/>
      <c r="AS62" s="105"/>
      <c r="AT62" s="161">
        <v>4.0</v>
      </c>
      <c r="AU62" s="99">
        <v>4.0</v>
      </c>
      <c r="AV62" s="100">
        <v>16.0</v>
      </c>
      <c r="AW62" s="100">
        <v>52.0</v>
      </c>
      <c r="AX62" s="100">
        <v>76.0</v>
      </c>
      <c r="AY62" s="103"/>
      <c r="AZ62" s="125"/>
      <c r="BA62" s="125"/>
      <c r="BB62" s="127"/>
    </row>
    <row r="63" ht="21.75" customHeight="1">
      <c r="A63" s="163" t="s">
        <v>142</v>
      </c>
      <c r="B63" s="164" t="s">
        <v>150</v>
      </c>
      <c r="C63" s="165"/>
      <c r="D63" s="166"/>
      <c r="E63" s="167"/>
      <c r="F63" s="167"/>
      <c r="G63" s="167"/>
      <c r="H63" s="167"/>
      <c r="I63" s="167"/>
      <c r="J63" s="167"/>
      <c r="K63" s="167"/>
      <c r="L63" s="168"/>
      <c r="M63" s="169">
        <f t="shared" ref="M63:BB63" si="66">(M64+M76)</f>
        <v>18</v>
      </c>
      <c r="N63" s="170">
        <f t="shared" si="66"/>
        <v>648</v>
      </c>
      <c r="O63" s="170">
        <f t="shared" si="66"/>
        <v>252</v>
      </c>
      <c r="P63" s="170">
        <f t="shared" si="66"/>
        <v>96</v>
      </c>
      <c r="Q63" s="170">
        <f t="shared" si="66"/>
        <v>156</v>
      </c>
      <c r="R63" s="171">
        <f t="shared" si="66"/>
        <v>396</v>
      </c>
      <c r="S63" s="172">
        <f t="shared" si="66"/>
        <v>0</v>
      </c>
      <c r="T63" s="170">
        <f t="shared" si="66"/>
        <v>0</v>
      </c>
      <c r="U63" s="170">
        <f t="shared" si="66"/>
        <v>0</v>
      </c>
      <c r="V63" s="170">
        <f t="shared" si="66"/>
        <v>0</v>
      </c>
      <c r="W63" s="170">
        <f t="shared" si="66"/>
        <v>0</v>
      </c>
      <c r="X63" s="170">
        <f t="shared" si="66"/>
        <v>0</v>
      </c>
      <c r="Y63" s="170">
        <f t="shared" si="66"/>
        <v>0</v>
      </c>
      <c r="Z63" s="170">
        <f t="shared" si="66"/>
        <v>0</v>
      </c>
      <c r="AA63" s="173">
        <f t="shared" si="66"/>
        <v>0</v>
      </c>
      <c r="AB63" s="169">
        <f t="shared" si="66"/>
        <v>0</v>
      </c>
      <c r="AC63" s="170">
        <f t="shared" si="66"/>
        <v>0</v>
      </c>
      <c r="AD63" s="170">
        <f t="shared" si="66"/>
        <v>0</v>
      </c>
      <c r="AE63" s="170">
        <f t="shared" si="66"/>
        <v>0</v>
      </c>
      <c r="AF63" s="170">
        <f t="shared" si="66"/>
        <v>0</v>
      </c>
      <c r="AG63" s="170">
        <f t="shared" si="66"/>
        <v>0</v>
      </c>
      <c r="AH63" s="170">
        <f t="shared" si="66"/>
        <v>0</v>
      </c>
      <c r="AI63" s="170">
        <f t="shared" si="66"/>
        <v>0</v>
      </c>
      <c r="AJ63" s="171">
        <f t="shared" si="66"/>
        <v>0</v>
      </c>
      <c r="AK63" s="172">
        <f t="shared" si="66"/>
        <v>9</v>
      </c>
      <c r="AL63" s="170">
        <f t="shared" si="66"/>
        <v>0</v>
      </c>
      <c r="AM63" s="170">
        <f t="shared" si="66"/>
        <v>0</v>
      </c>
      <c r="AN63" s="170">
        <f t="shared" si="66"/>
        <v>0</v>
      </c>
      <c r="AO63" s="170">
        <f t="shared" si="66"/>
        <v>0</v>
      </c>
      <c r="AP63" s="170">
        <f t="shared" si="66"/>
        <v>7</v>
      </c>
      <c r="AQ63" s="170">
        <f t="shared" si="66"/>
        <v>48</v>
      </c>
      <c r="AR63" s="170">
        <f t="shared" si="66"/>
        <v>70</v>
      </c>
      <c r="AS63" s="173">
        <f t="shared" si="66"/>
        <v>206</v>
      </c>
      <c r="AT63" s="169">
        <f t="shared" si="66"/>
        <v>9</v>
      </c>
      <c r="AU63" s="170">
        <f t="shared" si="66"/>
        <v>8</v>
      </c>
      <c r="AV63" s="170">
        <f t="shared" si="66"/>
        <v>48</v>
      </c>
      <c r="AW63" s="170">
        <f t="shared" si="66"/>
        <v>86</v>
      </c>
      <c r="AX63" s="170">
        <f t="shared" si="66"/>
        <v>190</v>
      </c>
      <c r="AY63" s="170">
        <f t="shared" si="66"/>
        <v>0</v>
      </c>
      <c r="AZ63" s="170">
        <f t="shared" si="66"/>
        <v>0</v>
      </c>
      <c r="BA63" s="170">
        <f t="shared" si="66"/>
        <v>0</v>
      </c>
      <c r="BB63" s="171">
        <f t="shared" si="66"/>
        <v>0</v>
      </c>
    </row>
    <row r="64" ht="12.75" customHeight="1">
      <c r="A64" s="163" t="s">
        <v>142</v>
      </c>
      <c r="B64" s="164" t="s">
        <v>151</v>
      </c>
      <c r="C64" s="165"/>
      <c r="D64" s="166"/>
      <c r="E64" s="167"/>
      <c r="F64" s="167"/>
      <c r="G64" s="167"/>
      <c r="H64" s="167"/>
      <c r="I64" s="167"/>
      <c r="J64" s="167"/>
      <c r="K64" s="167"/>
      <c r="L64" s="168"/>
      <c r="M64" s="174">
        <f t="shared" ref="M64:BB64" si="67">M65+M66+M67</f>
        <v>9</v>
      </c>
      <c r="N64" s="170">
        <f t="shared" si="67"/>
        <v>324</v>
      </c>
      <c r="O64" s="170">
        <f t="shared" si="67"/>
        <v>134</v>
      </c>
      <c r="P64" s="170">
        <f t="shared" si="67"/>
        <v>48</v>
      </c>
      <c r="Q64" s="170">
        <f t="shared" si="67"/>
        <v>86</v>
      </c>
      <c r="R64" s="171">
        <f t="shared" si="67"/>
        <v>190</v>
      </c>
      <c r="S64" s="172">
        <f t="shared" si="67"/>
        <v>0</v>
      </c>
      <c r="T64" s="170">
        <f t="shared" si="67"/>
        <v>0</v>
      </c>
      <c r="U64" s="170">
        <f t="shared" si="67"/>
        <v>0</v>
      </c>
      <c r="V64" s="170">
        <f t="shared" si="67"/>
        <v>0</v>
      </c>
      <c r="W64" s="170">
        <f t="shared" si="67"/>
        <v>0</v>
      </c>
      <c r="X64" s="170">
        <f t="shared" si="67"/>
        <v>0</v>
      </c>
      <c r="Y64" s="170">
        <f t="shared" si="67"/>
        <v>0</v>
      </c>
      <c r="Z64" s="170">
        <f t="shared" si="67"/>
        <v>0</v>
      </c>
      <c r="AA64" s="173">
        <f t="shared" si="67"/>
        <v>0</v>
      </c>
      <c r="AB64" s="169">
        <f t="shared" si="67"/>
        <v>0</v>
      </c>
      <c r="AC64" s="170">
        <f t="shared" si="67"/>
        <v>0</v>
      </c>
      <c r="AD64" s="170">
        <f t="shared" si="67"/>
        <v>0</v>
      </c>
      <c r="AE64" s="170">
        <f t="shared" si="67"/>
        <v>0</v>
      </c>
      <c r="AF64" s="170">
        <f t="shared" si="67"/>
        <v>0</v>
      </c>
      <c r="AG64" s="170">
        <f t="shared" si="67"/>
        <v>0</v>
      </c>
      <c r="AH64" s="170">
        <f t="shared" si="67"/>
        <v>0</v>
      </c>
      <c r="AI64" s="170">
        <f t="shared" si="67"/>
        <v>0</v>
      </c>
      <c r="AJ64" s="171">
        <f t="shared" si="67"/>
        <v>0</v>
      </c>
      <c r="AK64" s="172">
        <f t="shared" si="67"/>
        <v>6</v>
      </c>
      <c r="AL64" s="170">
        <f t="shared" si="67"/>
        <v>0</v>
      </c>
      <c r="AM64" s="170">
        <f t="shared" si="67"/>
        <v>0</v>
      </c>
      <c r="AN64" s="170">
        <f t="shared" si="67"/>
        <v>0</v>
      </c>
      <c r="AO64" s="170">
        <f t="shared" si="67"/>
        <v>0</v>
      </c>
      <c r="AP64" s="170">
        <f t="shared" si="67"/>
        <v>5</v>
      </c>
      <c r="AQ64" s="170">
        <f t="shared" si="67"/>
        <v>32</v>
      </c>
      <c r="AR64" s="170">
        <f t="shared" si="67"/>
        <v>52</v>
      </c>
      <c r="AS64" s="173">
        <f t="shared" si="67"/>
        <v>132</v>
      </c>
      <c r="AT64" s="169">
        <f t="shared" si="67"/>
        <v>3</v>
      </c>
      <c r="AU64" s="170">
        <f t="shared" si="67"/>
        <v>3</v>
      </c>
      <c r="AV64" s="170">
        <f t="shared" si="67"/>
        <v>16</v>
      </c>
      <c r="AW64" s="170">
        <f t="shared" si="67"/>
        <v>34</v>
      </c>
      <c r="AX64" s="170">
        <f t="shared" si="67"/>
        <v>58</v>
      </c>
      <c r="AY64" s="170">
        <f t="shared" si="67"/>
        <v>0</v>
      </c>
      <c r="AZ64" s="170">
        <f t="shared" si="67"/>
        <v>0</v>
      </c>
      <c r="BA64" s="170">
        <f t="shared" si="67"/>
        <v>0</v>
      </c>
      <c r="BB64" s="171">
        <f t="shared" si="67"/>
        <v>0</v>
      </c>
    </row>
    <row r="65" ht="12.75" customHeight="1">
      <c r="A65" s="91" t="s">
        <v>152</v>
      </c>
      <c r="B65" s="142" t="s">
        <v>153</v>
      </c>
      <c r="C65" s="93" t="s">
        <v>50</v>
      </c>
      <c r="D65" s="94" t="str">
        <f>VLOOKUP(B65,'Матрица компетенций'!$A$4:$C$66,3,FALSE)</f>
        <v>ПКП-6</v>
      </c>
      <c r="E65" s="95"/>
      <c r="F65" s="95" t="s">
        <v>68</v>
      </c>
      <c r="G65" s="95"/>
      <c r="H65" s="95"/>
      <c r="I65" s="95"/>
      <c r="J65" s="95" t="s">
        <v>68</v>
      </c>
      <c r="K65" s="95"/>
      <c r="L65" s="97"/>
      <c r="M65" s="98">
        <f t="shared" ref="M65:M67" si="69">N65/36</f>
        <v>3</v>
      </c>
      <c r="N65" s="99">
        <f t="shared" ref="N65:N67" si="70">O65+R65</f>
        <v>108</v>
      </c>
      <c r="O65" s="100">
        <f t="shared" ref="O65:O67" si="71">P65+Q65</f>
        <v>50</v>
      </c>
      <c r="P65" s="100">
        <f t="shared" ref="P65:R65" si="68">U65+Y65+AD65+AH65+AM65+AQ65+AV65+AZ65</f>
        <v>16</v>
      </c>
      <c r="Q65" s="100">
        <f t="shared" si="68"/>
        <v>34</v>
      </c>
      <c r="R65" s="101">
        <f t="shared" si="68"/>
        <v>58</v>
      </c>
      <c r="S65" s="102"/>
      <c r="T65" s="103"/>
      <c r="U65" s="100"/>
      <c r="V65" s="100"/>
      <c r="W65" s="100"/>
      <c r="X65" s="103"/>
      <c r="Y65" s="100"/>
      <c r="Z65" s="100"/>
      <c r="AA65" s="105"/>
      <c r="AB65" s="106"/>
      <c r="AC65" s="103"/>
      <c r="AD65" s="100"/>
      <c r="AE65" s="100"/>
      <c r="AF65" s="100"/>
      <c r="AG65" s="103"/>
      <c r="AH65" s="100"/>
      <c r="AI65" s="100"/>
      <c r="AJ65" s="101"/>
      <c r="AK65" s="102">
        <v>3.0</v>
      </c>
      <c r="AL65" s="103"/>
      <c r="AM65" s="100"/>
      <c r="AN65" s="100"/>
      <c r="AO65" s="100"/>
      <c r="AP65" s="99">
        <v>3.0</v>
      </c>
      <c r="AQ65" s="100">
        <v>16.0</v>
      </c>
      <c r="AR65" s="100">
        <v>34.0</v>
      </c>
      <c r="AS65" s="105">
        <v>58.0</v>
      </c>
      <c r="AT65" s="106"/>
      <c r="AU65" s="103"/>
      <c r="AV65" s="100"/>
      <c r="AW65" s="100"/>
      <c r="AX65" s="100"/>
      <c r="AY65" s="103"/>
      <c r="AZ65" s="100"/>
      <c r="BA65" s="100"/>
      <c r="BB65" s="101"/>
    </row>
    <row r="66" ht="12.75" customHeight="1">
      <c r="A66" s="91" t="s">
        <v>154</v>
      </c>
      <c r="B66" s="142" t="s">
        <v>155</v>
      </c>
      <c r="C66" s="93" t="s">
        <v>50</v>
      </c>
      <c r="D66" s="94" t="str">
        <f>VLOOKUP(B66,'Матрица компетенций'!$A$4:$C$66,3,FALSE)</f>
        <v>ПКП-6</v>
      </c>
      <c r="E66" s="95"/>
      <c r="F66" s="95" t="s">
        <v>68</v>
      </c>
      <c r="G66" s="95"/>
      <c r="H66" s="95"/>
      <c r="I66" s="95"/>
      <c r="J66" s="95" t="s">
        <v>68</v>
      </c>
      <c r="K66" s="95"/>
      <c r="L66" s="97"/>
      <c r="M66" s="98">
        <f t="shared" si="69"/>
        <v>3</v>
      </c>
      <c r="N66" s="99">
        <f t="shared" si="70"/>
        <v>108</v>
      </c>
      <c r="O66" s="100">
        <f t="shared" si="71"/>
        <v>34</v>
      </c>
      <c r="P66" s="100">
        <f t="shared" ref="P66:R66" si="72">U66+Y66+AD66+AH66+AM66+AQ66+AV66+AZ66</f>
        <v>16</v>
      </c>
      <c r="Q66" s="100">
        <f t="shared" si="72"/>
        <v>18</v>
      </c>
      <c r="R66" s="101">
        <f t="shared" si="72"/>
        <v>74</v>
      </c>
      <c r="S66" s="102"/>
      <c r="T66" s="103"/>
      <c r="U66" s="100"/>
      <c r="V66" s="100"/>
      <c r="W66" s="100"/>
      <c r="X66" s="103"/>
      <c r="Y66" s="100"/>
      <c r="Z66" s="100"/>
      <c r="AA66" s="105"/>
      <c r="AB66" s="106"/>
      <c r="AC66" s="103"/>
      <c r="AD66" s="100"/>
      <c r="AE66" s="100"/>
      <c r="AF66" s="100"/>
      <c r="AG66" s="103"/>
      <c r="AH66" s="100"/>
      <c r="AI66" s="100"/>
      <c r="AJ66" s="101"/>
      <c r="AK66" s="102">
        <v>3.0</v>
      </c>
      <c r="AL66" s="103"/>
      <c r="AM66" s="100"/>
      <c r="AN66" s="100"/>
      <c r="AO66" s="100"/>
      <c r="AP66" s="99">
        <v>2.0</v>
      </c>
      <c r="AQ66" s="100">
        <v>16.0</v>
      </c>
      <c r="AR66" s="100">
        <v>18.0</v>
      </c>
      <c r="AS66" s="105">
        <v>74.0</v>
      </c>
      <c r="AT66" s="106"/>
      <c r="AU66" s="103"/>
      <c r="AV66" s="100"/>
      <c r="AW66" s="100"/>
      <c r="AX66" s="100"/>
      <c r="AY66" s="103"/>
      <c r="AZ66" s="100"/>
      <c r="BA66" s="100"/>
      <c r="BB66" s="101"/>
    </row>
    <row r="67" ht="12.75" customHeight="1">
      <c r="A67" s="91" t="s">
        <v>156</v>
      </c>
      <c r="B67" s="142" t="s">
        <v>157</v>
      </c>
      <c r="C67" s="93" t="s">
        <v>50</v>
      </c>
      <c r="D67" s="94" t="str">
        <f>VLOOKUP(B67,'Матрица компетенций'!$A$4:$C$66,3,FALSE)</f>
        <v>ПКП-6</v>
      </c>
      <c r="E67" s="95" t="s">
        <v>80</v>
      </c>
      <c r="F67" s="95"/>
      <c r="G67" s="95"/>
      <c r="H67" s="95"/>
      <c r="I67" s="95"/>
      <c r="J67" s="95" t="s">
        <v>80</v>
      </c>
      <c r="K67" s="95"/>
      <c r="L67" s="97"/>
      <c r="M67" s="98">
        <f t="shared" si="69"/>
        <v>3</v>
      </c>
      <c r="N67" s="99">
        <f t="shared" si="70"/>
        <v>108</v>
      </c>
      <c r="O67" s="100">
        <f t="shared" si="71"/>
        <v>50</v>
      </c>
      <c r="P67" s="100">
        <f t="shared" ref="P67:R67" si="73">U67+Y67+AD67+AH67+AM67+AQ67+AV67+AZ67</f>
        <v>16</v>
      </c>
      <c r="Q67" s="100">
        <f t="shared" si="73"/>
        <v>34</v>
      </c>
      <c r="R67" s="101">
        <f t="shared" si="73"/>
        <v>58</v>
      </c>
      <c r="S67" s="102"/>
      <c r="T67" s="103"/>
      <c r="U67" s="100"/>
      <c r="V67" s="100"/>
      <c r="W67" s="100"/>
      <c r="X67" s="103"/>
      <c r="Y67" s="100"/>
      <c r="Z67" s="100"/>
      <c r="AA67" s="105"/>
      <c r="AB67" s="106"/>
      <c r="AC67" s="103"/>
      <c r="AD67" s="100"/>
      <c r="AE67" s="100"/>
      <c r="AF67" s="100"/>
      <c r="AG67" s="103"/>
      <c r="AH67" s="100"/>
      <c r="AI67" s="100"/>
      <c r="AJ67" s="101"/>
      <c r="AK67" s="102"/>
      <c r="AL67" s="103"/>
      <c r="AM67" s="100"/>
      <c r="AN67" s="100"/>
      <c r="AO67" s="100"/>
      <c r="AP67" s="103"/>
      <c r="AQ67" s="100"/>
      <c r="AR67" s="100"/>
      <c r="AS67" s="105"/>
      <c r="AT67" s="106">
        <v>3.0</v>
      </c>
      <c r="AU67" s="99">
        <v>3.0</v>
      </c>
      <c r="AV67" s="100">
        <v>16.0</v>
      </c>
      <c r="AW67" s="100">
        <v>34.0</v>
      </c>
      <c r="AX67" s="100">
        <v>58.0</v>
      </c>
      <c r="AY67" s="103"/>
      <c r="AZ67" s="100"/>
      <c r="BA67" s="100"/>
      <c r="BB67" s="101"/>
    </row>
    <row r="68" ht="12.75" customHeight="1">
      <c r="A68" s="163" t="s">
        <v>142</v>
      </c>
      <c r="B68" s="164" t="s">
        <v>158</v>
      </c>
      <c r="C68" s="175"/>
      <c r="D68" s="175"/>
      <c r="E68" s="176"/>
      <c r="F68" s="176"/>
      <c r="G68" s="176"/>
      <c r="H68" s="176"/>
      <c r="I68" s="176"/>
      <c r="J68" s="176"/>
      <c r="K68" s="176"/>
      <c r="L68" s="177"/>
      <c r="M68" s="178">
        <f t="shared" ref="M68:BB68" si="74">M69+M70+M71</f>
        <v>9</v>
      </c>
      <c r="N68" s="179">
        <f t="shared" si="74"/>
        <v>324</v>
      </c>
      <c r="O68" s="179">
        <f t="shared" si="74"/>
        <v>134</v>
      </c>
      <c r="P68" s="179">
        <f t="shared" si="74"/>
        <v>48</v>
      </c>
      <c r="Q68" s="179">
        <f t="shared" si="74"/>
        <v>86</v>
      </c>
      <c r="R68" s="180">
        <f t="shared" si="74"/>
        <v>190</v>
      </c>
      <c r="S68" s="181">
        <f t="shared" si="74"/>
        <v>0</v>
      </c>
      <c r="T68" s="182">
        <f t="shared" si="74"/>
        <v>0</v>
      </c>
      <c r="U68" s="179">
        <f t="shared" si="74"/>
        <v>0</v>
      </c>
      <c r="V68" s="179">
        <f t="shared" si="74"/>
        <v>0</v>
      </c>
      <c r="W68" s="179">
        <f t="shared" si="74"/>
        <v>0</v>
      </c>
      <c r="X68" s="182">
        <f t="shared" si="74"/>
        <v>0</v>
      </c>
      <c r="Y68" s="179">
        <f t="shared" si="74"/>
        <v>0</v>
      </c>
      <c r="Z68" s="179">
        <f t="shared" si="74"/>
        <v>0</v>
      </c>
      <c r="AA68" s="183">
        <f t="shared" si="74"/>
        <v>0</v>
      </c>
      <c r="AB68" s="178">
        <f t="shared" si="74"/>
        <v>0</v>
      </c>
      <c r="AC68" s="182">
        <f t="shared" si="74"/>
        <v>0</v>
      </c>
      <c r="AD68" s="179">
        <f t="shared" si="74"/>
        <v>0</v>
      </c>
      <c r="AE68" s="179">
        <f t="shared" si="74"/>
        <v>0</v>
      </c>
      <c r="AF68" s="179">
        <f t="shared" si="74"/>
        <v>0</v>
      </c>
      <c r="AG68" s="182">
        <f t="shared" si="74"/>
        <v>0</v>
      </c>
      <c r="AH68" s="179">
        <f t="shared" si="74"/>
        <v>0</v>
      </c>
      <c r="AI68" s="179">
        <f t="shared" si="74"/>
        <v>0</v>
      </c>
      <c r="AJ68" s="180">
        <f t="shared" si="74"/>
        <v>0</v>
      </c>
      <c r="AK68" s="181">
        <f t="shared" si="74"/>
        <v>6</v>
      </c>
      <c r="AL68" s="182">
        <f t="shared" si="74"/>
        <v>0</v>
      </c>
      <c r="AM68" s="179">
        <f t="shared" si="74"/>
        <v>0</v>
      </c>
      <c r="AN68" s="179">
        <f t="shared" si="74"/>
        <v>0</v>
      </c>
      <c r="AO68" s="179">
        <f t="shared" si="74"/>
        <v>0</v>
      </c>
      <c r="AP68" s="179">
        <f t="shared" si="74"/>
        <v>5</v>
      </c>
      <c r="AQ68" s="179">
        <f t="shared" si="74"/>
        <v>32</v>
      </c>
      <c r="AR68" s="179">
        <f t="shared" si="74"/>
        <v>52</v>
      </c>
      <c r="AS68" s="183">
        <f t="shared" si="74"/>
        <v>132</v>
      </c>
      <c r="AT68" s="178">
        <f t="shared" si="74"/>
        <v>3</v>
      </c>
      <c r="AU68" s="179">
        <f t="shared" si="74"/>
        <v>3</v>
      </c>
      <c r="AV68" s="179">
        <f t="shared" si="74"/>
        <v>16</v>
      </c>
      <c r="AW68" s="179">
        <f t="shared" si="74"/>
        <v>34</v>
      </c>
      <c r="AX68" s="179">
        <f t="shared" si="74"/>
        <v>58</v>
      </c>
      <c r="AY68" s="182">
        <f t="shared" si="74"/>
        <v>0</v>
      </c>
      <c r="AZ68" s="179">
        <f t="shared" si="74"/>
        <v>0</v>
      </c>
      <c r="BA68" s="179">
        <f t="shared" si="74"/>
        <v>0</v>
      </c>
      <c r="BB68" s="180">
        <f t="shared" si="74"/>
        <v>0</v>
      </c>
    </row>
    <row r="69" ht="22.5" customHeight="1">
      <c r="A69" s="91" t="s">
        <v>152</v>
      </c>
      <c r="B69" s="184" t="s">
        <v>159</v>
      </c>
      <c r="C69" s="93" t="s">
        <v>50</v>
      </c>
      <c r="D69" s="94" t="str">
        <f>VLOOKUP(B69,'Матрица компетенций'!$A$4:$C$66,3,FALSE)</f>
        <v>ПКП-6</v>
      </c>
      <c r="E69" s="95"/>
      <c r="F69" s="95" t="s">
        <v>68</v>
      </c>
      <c r="G69" s="95"/>
      <c r="H69" s="95"/>
      <c r="I69" s="95"/>
      <c r="J69" s="95" t="s">
        <v>68</v>
      </c>
      <c r="K69" s="95"/>
      <c r="L69" s="97"/>
      <c r="M69" s="98">
        <f t="shared" ref="M69:M71" si="76">N69/36</f>
        <v>3</v>
      </c>
      <c r="N69" s="99">
        <f t="shared" ref="N69:N71" si="77">O69+R69</f>
        <v>108</v>
      </c>
      <c r="O69" s="100">
        <f t="shared" ref="O69:O71" si="78">P69+Q69</f>
        <v>34</v>
      </c>
      <c r="P69" s="100">
        <f t="shared" ref="P69:R69" si="75">U69+Y69+AD69+AH69+AM69+AQ69+AV69+AZ69</f>
        <v>16</v>
      </c>
      <c r="Q69" s="100">
        <f t="shared" si="75"/>
        <v>18</v>
      </c>
      <c r="R69" s="101">
        <f t="shared" si="75"/>
        <v>74</v>
      </c>
      <c r="S69" s="102"/>
      <c r="T69" s="103"/>
      <c r="U69" s="100"/>
      <c r="V69" s="100"/>
      <c r="W69" s="100"/>
      <c r="X69" s="103"/>
      <c r="Y69" s="100"/>
      <c r="Z69" s="100"/>
      <c r="AA69" s="105"/>
      <c r="AB69" s="106"/>
      <c r="AC69" s="103"/>
      <c r="AD69" s="100"/>
      <c r="AE69" s="100"/>
      <c r="AF69" s="100"/>
      <c r="AG69" s="103"/>
      <c r="AH69" s="100"/>
      <c r="AI69" s="100"/>
      <c r="AJ69" s="101"/>
      <c r="AK69" s="102">
        <v>3.0</v>
      </c>
      <c r="AL69" s="103"/>
      <c r="AM69" s="100"/>
      <c r="AN69" s="100"/>
      <c r="AO69" s="100"/>
      <c r="AP69" s="99">
        <v>2.0</v>
      </c>
      <c r="AQ69" s="100">
        <v>16.0</v>
      </c>
      <c r="AR69" s="100">
        <v>18.0</v>
      </c>
      <c r="AS69" s="105">
        <v>74.0</v>
      </c>
      <c r="AT69" s="106"/>
      <c r="AU69" s="103"/>
      <c r="AV69" s="100"/>
      <c r="AW69" s="100"/>
      <c r="AX69" s="100"/>
      <c r="AY69" s="103"/>
      <c r="AZ69" s="100"/>
      <c r="BA69" s="100"/>
      <c r="BB69" s="101"/>
    </row>
    <row r="70" ht="21.75" customHeight="1">
      <c r="A70" s="91" t="s">
        <v>154</v>
      </c>
      <c r="B70" s="184" t="s">
        <v>160</v>
      </c>
      <c r="C70" s="93" t="s">
        <v>50</v>
      </c>
      <c r="D70" s="94" t="str">
        <f>VLOOKUP(B70,'Матрица компетенций'!$A$4:$C$66,3,FALSE)</f>
        <v>ПКП-6</v>
      </c>
      <c r="E70" s="95"/>
      <c r="F70" s="95" t="s">
        <v>68</v>
      </c>
      <c r="G70" s="95"/>
      <c r="H70" s="95"/>
      <c r="I70" s="95"/>
      <c r="J70" s="95" t="s">
        <v>68</v>
      </c>
      <c r="K70" s="95"/>
      <c r="L70" s="97"/>
      <c r="M70" s="98">
        <f t="shared" si="76"/>
        <v>3</v>
      </c>
      <c r="N70" s="99">
        <f t="shared" si="77"/>
        <v>108</v>
      </c>
      <c r="O70" s="100">
        <f t="shared" si="78"/>
        <v>50</v>
      </c>
      <c r="P70" s="100">
        <f t="shared" ref="P70:R70" si="79">U70+Y70+AD70+AH70+AM70+AQ70+AV70+AZ70</f>
        <v>16</v>
      </c>
      <c r="Q70" s="100">
        <f t="shared" si="79"/>
        <v>34</v>
      </c>
      <c r="R70" s="101">
        <f t="shared" si="79"/>
        <v>58</v>
      </c>
      <c r="S70" s="102"/>
      <c r="T70" s="103"/>
      <c r="U70" s="100"/>
      <c r="V70" s="100"/>
      <c r="W70" s="100"/>
      <c r="X70" s="103"/>
      <c r="Y70" s="100"/>
      <c r="Z70" s="100"/>
      <c r="AA70" s="105"/>
      <c r="AB70" s="106"/>
      <c r="AC70" s="103"/>
      <c r="AD70" s="100"/>
      <c r="AE70" s="100"/>
      <c r="AF70" s="100"/>
      <c r="AG70" s="103"/>
      <c r="AH70" s="100"/>
      <c r="AI70" s="100"/>
      <c r="AJ70" s="101"/>
      <c r="AK70" s="102">
        <v>3.0</v>
      </c>
      <c r="AL70" s="103"/>
      <c r="AM70" s="100"/>
      <c r="AN70" s="100"/>
      <c r="AO70" s="100"/>
      <c r="AP70" s="99">
        <v>3.0</v>
      </c>
      <c r="AQ70" s="100">
        <v>16.0</v>
      </c>
      <c r="AR70" s="100">
        <v>34.0</v>
      </c>
      <c r="AS70" s="105">
        <v>58.0</v>
      </c>
      <c r="AT70" s="106"/>
      <c r="AU70" s="103"/>
      <c r="AV70" s="100"/>
      <c r="AW70" s="100"/>
      <c r="AX70" s="100"/>
      <c r="AY70" s="103"/>
      <c r="AZ70" s="100"/>
      <c r="BA70" s="100"/>
      <c r="BB70" s="101"/>
    </row>
    <row r="71" ht="23.25" customHeight="1">
      <c r="A71" s="91" t="s">
        <v>156</v>
      </c>
      <c r="B71" s="92" t="s">
        <v>161</v>
      </c>
      <c r="C71" s="93" t="s">
        <v>50</v>
      </c>
      <c r="D71" s="94" t="str">
        <f>VLOOKUP(B71,'Матрица компетенций'!$A$4:$C$66,3,FALSE)</f>
        <v>ПКП-6</v>
      </c>
      <c r="E71" s="95" t="s">
        <v>80</v>
      </c>
      <c r="F71" s="95"/>
      <c r="G71" s="95"/>
      <c r="H71" s="95"/>
      <c r="I71" s="95"/>
      <c r="J71" s="95" t="s">
        <v>80</v>
      </c>
      <c r="K71" s="95"/>
      <c r="L71" s="97"/>
      <c r="M71" s="98">
        <f t="shared" si="76"/>
        <v>3</v>
      </c>
      <c r="N71" s="99">
        <f t="shared" si="77"/>
        <v>108</v>
      </c>
      <c r="O71" s="100">
        <f t="shared" si="78"/>
        <v>50</v>
      </c>
      <c r="P71" s="100">
        <f t="shared" ref="P71:R71" si="80">U71+Y71+AD71+AH71+AM71+AQ71+AV71+AZ71</f>
        <v>16</v>
      </c>
      <c r="Q71" s="100">
        <f t="shared" si="80"/>
        <v>34</v>
      </c>
      <c r="R71" s="101">
        <f t="shared" si="80"/>
        <v>58</v>
      </c>
      <c r="S71" s="102"/>
      <c r="T71" s="103"/>
      <c r="U71" s="100"/>
      <c r="V71" s="100"/>
      <c r="W71" s="100"/>
      <c r="X71" s="103"/>
      <c r="Y71" s="100"/>
      <c r="Z71" s="100"/>
      <c r="AA71" s="105"/>
      <c r="AB71" s="106"/>
      <c r="AC71" s="103"/>
      <c r="AD71" s="100"/>
      <c r="AE71" s="100"/>
      <c r="AF71" s="100"/>
      <c r="AG71" s="103"/>
      <c r="AH71" s="100"/>
      <c r="AI71" s="100"/>
      <c r="AJ71" s="101"/>
      <c r="AK71" s="102"/>
      <c r="AL71" s="103"/>
      <c r="AM71" s="100"/>
      <c r="AN71" s="100"/>
      <c r="AO71" s="100"/>
      <c r="AP71" s="103"/>
      <c r="AQ71" s="100"/>
      <c r="AR71" s="100"/>
      <c r="AS71" s="105"/>
      <c r="AT71" s="106">
        <v>3.0</v>
      </c>
      <c r="AU71" s="99">
        <v>3.0</v>
      </c>
      <c r="AV71" s="100">
        <v>16.0</v>
      </c>
      <c r="AW71" s="100">
        <v>34.0</v>
      </c>
      <c r="AX71" s="100">
        <v>58.0</v>
      </c>
      <c r="AY71" s="103"/>
      <c r="AZ71" s="100"/>
      <c r="BA71" s="100"/>
      <c r="BB71" s="101"/>
    </row>
    <row r="72" ht="12.75" customHeight="1">
      <c r="A72" s="163" t="s">
        <v>142</v>
      </c>
      <c r="B72" s="164" t="s">
        <v>162</v>
      </c>
      <c r="C72" s="175"/>
      <c r="D72" s="175"/>
      <c r="E72" s="176"/>
      <c r="F72" s="176"/>
      <c r="G72" s="176"/>
      <c r="H72" s="176"/>
      <c r="I72" s="176"/>
      <c r="J72" s="176"/>
      <c r="K72" s="176"/>
      <c r="L72" s="177"/>
      <c r="M72" s="178">
        <f t="shared" ref="M72:BB72" si="81">M73+M74+M75</f>
        <v>9</v>
      </c>
      <c r="N72" s="179">
        <f t="shared" si="81"/>
        <v>324</v>
      </c>
      <c r="O72" s="179">
        <f t="shared" si="81"/>
        <v>134</v>
      </c>
      <c r="P72" s="179">
        <f t="shared" si="81"/>
        <v>48</v>
      </c>
      <c r="Q72" s="179">
        <f t="shared" si="81"/>
        <v>86</v>
      </c>
      <c r="R72" s="180">
        <f t="shared" si="81"/>
        <v>190</v>
      </c>
      <c r="S72" s="181">
        <f t="shared" si="81"/>
        <v>0</v>
      </c>
      <c r="T72" s="182">
        <f t="shared" si="81"/>
        <v>0</v>
      </c>
      <c r="U72" s="179">
        <f t="shared" si="81"/>
        <v>0</v>
      </c>
      <c r="V72" s="179">
        <f t="shared" si="81"/>
        <v>0</v>
      </c>
      <c r="W72" s="179">
        <f t="shared" si="81"/>
        <v>0</v>
      </c>
      <c r="X72" s="182">
        <f t="shared" si="81"/>
        <v>0</v>
      </c>
      <c r="Y72" s="179">
        <f t="shared" si="81"/>
        <v>0</v>
      </c>
      <c r="Z72" s="179">
        <f t="shared" si="81"/>
        <v>0</v>
      </c>
      <c r="AA72" s="183">
        <f t="shared" si="81"/>
        <v>0</v>
      </c>
      <c r="AB72" s="178">
        <f t="shared" si="81"/>
        <v>0</v>
      </c>
      <c r="AC72" s="182">
        <f t="shared" si="81"/>
        <v>0</v>
      </c>
      <c r="AD72" s="179">
        <f t="shared" si="81"/>
        <v>0</v>
      </c>
      <c r="AE72" s="179">
        <f t="shared" si="81"/>
        <v>0</v>
      </c>
      <c r="AF72" s="179">
        <f t="shared" si="81"/>
        <v>0</v>
      </c>
      <c r="AG72" s="182">
        <f t="shared" si="81"/>
        <v>0</v>
      </c>
      <c r="AH72" s="179">
        <f t="shared" si="81"/>
        <v>0</v>
      </c>
      <c r="AI72" s="179">
        <f t="shared" si="81"/>
        <v>0</v>
      </c>
      <c r="AJ72" s="180">
        <f t="shared" si="81"/>
        <v>0</v>
      </c>
      <c r="AK72" s="181">
        <f t="shared" si="81"/>
        <v>6</v>
      </c>
      <c r="AL72" s="182">
        <f t="shared" si="81"/>
        <v>0</v>
      </c>
      <c r="AM72" s="179">
        <f t="shared" si="81"/>
        <v>0</v>
      </c>
      <c r="AN72" s="179">
        <f t="shared" si="81"/>
        <v>0</v>
      </c>
      <c r="AO72" s="179">
        <f t="shared" si="81"/>
        <v>0</v>
      </c>
      <c r="AP72" s="179">
        <f t="shared" si="81"/>
        <v>5</v>
      </c>
      <c r="AQ72" s="179">
        <f t="shared" si="81"/>
        <v>32</v>
      </c>
      <c r="AR72" s="179">
        <f t="shared" si="81"/>
        <v>52</v>
      </c>
      <c r="AS72" s="183">
        <f t="shared" si="81"/>
        <v>132</v>
      </c>
      <c r="AT72" s="178">
        <f t="shared" si="81"/>
        <v>3</v>
      </c>
      <c r="AU72" s="179">
        <f t="shared" si="81"/>
        <v>3</v>
      </c>
      <c r="AV72" s="179">
        <f t="shared" si="81"/>
        <v>16</v>
      </c>
      <c r="AW72" s="179">
        <f t="shared" si="81"/>
        <v>34</v>
      </c>
      <c r="AX72" s="179">
        <f t="shared" si="81"/>
        <v>58</v>
      </c>
      <c r="AY72" s="182">
        <f t="shared" si="81"/>
        <v>0</v>
      </c>
      <c r="AZ72" s="179">
        <f t="shared" si="81"/>
        <v>0</v>
      </c>
      <c r="BA72" s="179">
        <f t="shared" si="81"/>
        <v>0</v>
      </c>
      <c r="BB72" s="180">
        <f t="shared" si="81"/>
        <v>0</v>
      </c>
    </row>
    <row r="73" ht="24.75" customHeight="1">
      <c r="A73" s="91" t="s">
        <v>152</v>
      </c>
      <c r="B73" s="184" t="s">
        <v>163</v>
      </c>
      <c r="C73" s="93" t="s">
        <v>50</v>
      </c>
      <c r="D73" s="94" t="str">
        <f>VLOOKUP(B73,'Матрица компетенций'!$A$4:$C$66,3,FALSE)</f>
        <v>ПКП-6</v>
      </c>
      <c r="E73" s="95"/>
      <c r="F73" s="95" t="s">
        <v>68</v>
      </c>
      <c r="G73" s="95"/>
      <c r="H73" s="95"/>
      <c r="I73" s="95"/>
      <c r="J73" s="95" t="s">
        <v>68</v>
      </c>
      <c r="K73" s="95"/>
      <c r="L73" s="97"/>
      <c r="M73" s="98">
        <f t="shared" ref="M73:M75" si="83">N73/36</f>
        <v>3</v>
      </c>
      <c r="N73" s="99">
        <f t="shared" ref="N73:N75" si="84">O73+R73</f>
        <v>108</v>
      </c>
      <c r="O73" s="100">
        <f t="shared" ref="O73:O75" si="85">P73+Q73</f>
        <v>50</v>
      </c>
      <c r="P73" s="100">
        <f t="shared" ref="P73:R73" si="82">U73+Y73+AD73+AH73+AM73+AQ73+AV73+AZ73</f>
        <v>16</v>
      </c>
      <c r="Q73" s="100">
        <f t="shared" si="82"/>
        <v>34</v>
      </c>
      <c r="R73" s="101">
        <f t="shared" si="82"/>
        <v>58</v>
      </c>
      <c r="S73" s="102"/>
      <c r="T73" s="103"/>
      <c r="U73" s="100"/>
      <c r="V73" s="100"/>
      <c r="W73" s="100"/>
      <c r="X73" s="103"/>
      <c r="Y73" s="100"/>
      <c r="Z73" s="100"/>
      <c r="AA73" s="105"/>
      <c r="AB73" s="106"/>
      <c r="AC73" s="103"/>
      <c r="AD73" s="100"/>
      <c r="AE73" s="100"/>
      <c r="AF73" s="100"/>
      <c r="AG73" s="103"/>
      <c r="AH73" s="100"/>
      <c r="AI73" s="100"/>
      <c r="AJ73" s="101"/>
      <c r="AK73" s="102">
        <v>3.0</v>
      </c>
      <c r="AL73" s="103"/>
      <c r="AM73" s="100"/>
      <c r="AN73" s="100"/>
      <c r="AO73" s="100"/>
      <c r="AP73" s="99">
        <v>3.0</v>
      </c>
      <c r="AQ73" s="100">
        <v>16.0</v>
      </c>
      <c r="AR73" s="100">
        <v>34.0</v>
      </c>
      <c r="AS73" s="105">
        <v>58.0</v>
      </c>
      <c r="AT73" s="106"/>
      <c r="AU73" s="103"/>
      <c r="AV73" s="100"/>
      <c r="AW73" s="100"/>
      <c r="AX73" s="100"/>
      <c r="AY73" s="103"/>
      <c r="AZ73" s="100"/>
      <c r="BA73" s="100"/>
      <c r="BB73" s="101"/>
    </row>
    <row r="74" ht="12.75" customHeight="1">
      <c r="A74" s="91" t="s">
        <v>154</v>
      </c>
      <c r="B74" s="92" t="s">
        <v>164</v>
      </c>
      <c r="C74" s="93" t="s">
        <v>50</v>
      </c>
      <c r="D74" s="94" t="str">
        <f>VLOOKUP(B74,'Матрица компетенций'!$A$4:$C$66,3,FALSE)</f>
        <v>ПКП-6</v>
      </c>
      <c r="E74" s="95"/>
      <c r="F74" s="95" t="s">
        <v>68</v>
      </c>
      <c r="G74" s="95"/>
      <c r="H74" s="95"/>
      <c r="I74" s="95"/>
      <c r="J74" s="95" t="s">
        <v>68</v>
      </c>
      <c r="K74" s="95"/>
      <c r="L74" s="97"/>
      <c r="M74" s="98">
        <f t="shared" si="83"/>
        <v>3</v>
      </c>
      <c r="N74" s="99">
        <f t="shared" si="84"/>
        <v>108</v>
      </c>
      <c r="O74" s="100">
        <f t="shared" si="85"/>
        <v>34</v>
      </c>
      <c r="P74" s="100">
        <f t="shared" ref="P74:R74" si="86">U74+Y74+AD74+AH74+AM74+AQ74+AV74+AZ74</f>
        <v>16</v>
      </c>
      <c r="Q74" s="100">
        <f t="shared" si="86"/>
        <v>18</v>
      </c>
      <c r="R74" s="101">
        <f t="shared" si="86"/>
        <v>74</v>
      </c>
      <c r="S74" s="102"/>
      <c r="T74" s="103"/>
      <c r="U74" s="100"/>
      <c r="V74" s="100"/>
      <c r="W74" s="100"/>
      <c r="X74" s="103"/>
      <c r="Y74" s="100"/>
      <c r="Z74" s="100"/>
      <c r="AA74" s="105"/>
      <c r="AB74" s="106"/>
      <c r="AC74" s="103"/>
      <c r="AD74" s="100"/>
      <c r="AE74" s="100"/>
      <c r="AF74" s="100"/>
      <c r="AG74" s="103"/>
      <c r="AH74" s="100"/>
      <c r="AI74" s="100"/>
      <c r="AJ74" s="101"/>
      <c r="AK74" s="102">
        <v>3.0</v>
      </c>
      <c r="AL74" s="103"/>
      <c r="AM74" s="100"/>
      <c r="AN74" s="100"/>
      <c r="AO74" s="100"/>
      <c r="AP74" s="99">
        <v>2.0</v>
      </c>
      <c r="AQ74" s="100">
        <v>16.0</v>
      </c>
      <c r="AR74" s="100">
        <v>18.0</v>
      </c>
      <c r="AS74" s="105">
        <v>74.0</v>
      </c>
      <c r="AT74" s="106"/>
      <c r="AU74" s="103"/>
      <c r="AV74" s="100"/>
      <c r="AW74" s="100"/>
      <c r="AX74" s="100"/>
      <c r="AY74" s="103"/>
      <c r="AZ74" s="100"/>
      <c r="BA74" s="100"/>
      <c r="BB74" s="101"/>
    </row>
    <row r="75" ht="12.75" customHeight="1">
      <c r="A75" s="91" t="s">
        <v>156</v>
      </c>
      <c r="B75" s="92" t="s">
        <v>165</v>
      </c>
      <c r="C75" s="93" t="s">
        <v>50</v>
      </c>
      <c r="D75" s="94" t="str">
        <f>VLOOKUP(B75,'Матрица компетенций'!$A$4:$C$66,3,FALSE)</f>
        <v>ПКП-6</v>
      </c>
      <c r="E75" s="95" t="s">
        <v>80</v>
      </c>
      <c r="F75" s="95"/>
      <c r="G75" s="95"/>
      <c r="H75" s="95"/>
      <c r="I75" s="95"/>
      <c r="J75" s="95" t="s">
        <v>80</v>
      </c>
      <c r="K75" s="95"/>
      <c r="L75" s="97"/>
      <c r="M75" s="98">
        <f t="shared" si="83"/>
        <v>3</v>
      </c>
      <c r="N75" s="99">
        <f t="shared" si="84"/>
        <v>108</v>
      </c>
      <c r="O75" s="100">
        <f t="shared" si="85"/>
        <v>50</v>
      </c>
      <c r="P75" s="100">
        <f t="shared" ref="P75:R75" si="87">U75+Y75+AD75+AH75+AM75+AQ75+AV75+AZ75</f>
        <v>16</v>
      </c>
      <c r="Q75" s="100">
        <f t="shared" si="87"/>
        <v>34</v>
      </c>
      <c r="R75" s="101">
        <f t="shared" si="87"/>
        <v>58</v>
      </c>
      <c r="S75" s="102"/>
      <c r="T75" s="103"/>
      <c r="U75" s="100"/>
      <c r="V75" s="100"/>
      <c r="W75" s="100"/>
      <c r="X75" s="103"/>
      <c r="Y75" s="100"/>
      <c r="Z75" s="100"/>
      <c r="AA75" s="105"/>
      <c r="AB75" s="106"/>
      <c r="AC75" s="103"/>
      <c r="AD75" s="100"/>
      <c r="AE75" s="100"/>
      <c r="AF75" s="100"/>
      <c r="AG75" s="103"/>
      <c r="AH75" s="100"/>
      <c r="AI75" s="100"/>
      <c r="AJ75" s="101"/>
      <c r="AK75" s="102"/>
      <c r="AL75" s="103"/>
      <c r="AM75" s="100"/>
      <c r="AN75" s="100"/>
      <c r="AO75" s="100"/>
      <c r="AP75" s="103"/>
      <c r="AQ75" s="100"/>
      <c r="AR75" s="100"/>
      <c r="AS75" s="105"/>
      <c r="AT75" s="106">
        <v>3.0</v>
      </c>
      <c r="AU75" s="99">
        <v>3.0</v>
      </c>
      <c r="AV75" s="100">
        <v>16.0</v>
      </c>
      <c r="AW75" s="100">
        <v>34.0</v>
      </c>
      <c r="AX75" s="100">
        <v>58.0</v>
      </c>
      <c r="AY75" s="103"/>
      <c r="AZ75" s="100"/>
      <c r="BA75" s="100"/>
      <c r="BB75" s="101"/>
    </row>
    <row r="76" ht="12.75" customHeight="1">
      <c r="A76" s="163" t="s">
        <v>142</v>
      </c>
      <c r="B76" s="164" t="s">
        <v>166</v>
      </c>
      <c r="C76" s="175"/>
      <c r="D76" s="175"/>
      <c r="E76" s="176"/>
      <c r="F76" s="176"/>
      <c r="G76" s="176"/>
      <c r="H76" s="176"/>
      <c r="I76" s="176"/>
      <c r="J76" s="176"/>
      <c r="K76" s="176"/>
      <c r="L76" s="177"/>
      <c r="M76" s="174">
        <f t="shared" ref="M76:BB76" si="88">M77+M78+M79</f>
        <v>9</v>
      </c>
      <c r="N76" s="170">
        <f t="shared" si="88"/>
        <v>324</v>
      </c>
      <c r="O76" s="170">
        <f t="shared" si="88"/>
        <v>118</v>
      </c>
      <c r="P76" s="170">
        <f t="shared" si="88"/>
        <v>48</v>
      </c>
      <c r="Q76" s="170">
        <f t="shared" si="88"/>
        <v>70</v>
      </c>
      <c r="R76" s="171">
        <f t="shared" si="88"/>
        <v>206</v>
      </c>
      <c r="S76" s="172">
        <f t="shared" si="88"/>
        <v>0</v>
      </c>
      <c r="T76" s="170">
        <f t="shared" si="88"/>
        <v>0</v>
      </c>
      <c r="U76" s="170">
        <f t="shared" si="88"/>
        <v>0</v>
      </c>
      <c r="V76" s="170">
        <f t="shared" si="88"/>
        <v>0</v>
      </c>
      <c r="W76" s="170">
        <f t="shared" si="88"/>
        <v>0</v>
      </c>
      <c r="X76" s="170">
        <f t="shared" si="88"/>
        <v>0</v>
      </c>
      <c r="Y76" s="170">
        <f t="shared" si="88"/>
        <v>0</v>
      </c>
      <c r="Z76" s="170">
        <f t="shared" si="88"/>
        <v>0</v>
      </c>
      <c r="AA76" s="173">
        <f t="shared" si="88"/>
        <v>0</v>
      </c>
      <c r="AB76" s="169">
        <f t="shared" si="88"/>
        <v>0</v>
      </c>
      <c r="AC76" s="170">
        <f t="shared" si="88"/>
        <v>0</v>
      </c>
      <c r="AD76" s="170">
        <f t="shared" si="88"/>
        <v>0</v>
      </c>
      <c r="AE76" s="170">
        <f t="shared" si="88"/>
        <v>0</v>
      </c>
      <c r="AF76" s="170">
        <f t="shared" si="88"/>
        <v>0</v>
      </c>
      <c r="AG76" s="170">
        <f t="shared" si="88"/>
        <v>0</v>
      </c>
      <c r="AH76" s="170">
        <f t="shared" si="88"/>
        <v>0</v>
      </c>
      <c r="AI76" s="170">
        <f t="shared" si="88"/>
        <v>0</v>
      </c>
      <c r="AJ76" s="171">
        <f t="shared" si="88"/>
        <v>0</v>
      </c>
      <c r="AK76" s="172">
        <f t="shared" si="88"/>
        <v>3</v>
      </c>
      <c r="AL76" s="170">
        <f t="shared" si="88"/>
        <v>0</v>
      </c>
      <c r="AM76" s="170">
        <f t="shared" si="88"/>
        <v>0</v>
      </c>
      <c r="AN76" s="170">
        <f t="shared" si="88"/>
        <v>0</v>
      </c>
      <c r="AO76" s="170">
        <f t="shared" si="88"/>
        <v>0</v>
      </c>
      <c r="AP76" s="170">
        <f t="shared" si="88"/>
        <v>2</v>
      </c>
      <c r="AQ76" s="170">
        <f t="shared" si="88"/>
        <v>16</v>
      </c>
      <c r="AR76" s="170">
        <f t="shared" si="88"/>
        <v>18</v>
      </c>
      <c r="AS76" s="173">
        <f t="shared" si="88"/>
        <v>74</v>
      </c>
      <c r="AT76" s="169">
        <f t="shared" si="88"/>
        <v>6</v>
      </c>
      <c r="AU76" s="170">
        <f t="shared" si="88"/>
        <v>5</v>
      </c>
      <c r="AV76" s="170">
        <f t="shared" si="88"/>
        <v>32</v>
      </c>
      <c r="AW76" s="170">
        <f t="shared" si="88"/>
        <v>52</v>
      </c>
      <c r="AX76" s="170">
        <f t="shared" si="88"/>
        <v>132</v>
      </c>
      <c r="AY76" s="170">
        <f t="shared" si="88"/>
        <v>0</v>
      </c>
      <c r="AZ76" s="170">
        <f t="shared" si="88"/>
        <v>0</v>
      </c>
      <c r="BA76" s="170">
        <f t="shared" si="88"/>
        <v>0</v>
      </c>
      <c r="BB76" s="171">
        <f t="shared" si="88"/>
        <v>0</v>
      </c>
    </row>
    <row r="77" ht="22.5" customHeight="1">
      <c r="A77" s="91" t="s">
        <v>152</v>
      </c>
      <c r="B77" s="156" t="s">
        <v>167</v>
      </c>
      <c r="C77" s="93" t="s">
        <v>50</v>
      </c>
      <c r="D77" s="94" t="str">
        <f>VLOOKUP(B77,'Матрица компетенций'!$A$4:$C$66,3,FALSE)</f>
        <v>ПКП-6</v>
      </c>
      <c r="E77" s="95"/>
      <c r="F77" s="95" t="s">
        <v>68</v>
      </c>
      <c r="G77" s="95"/>
      <c r="H77" s="95"/>
      <c r="I77" s="95"/>
      <c r="J77" s="95" t="s">
        <v>68</v>
      </c>
      <c r="K77" s="95"/>
      <c r="L77" s="97"/>
      <c r="M77" s="98">
        <f t="shared" ref="M77:M79" si="90">N77/36</f>
        <v>3</v>
      </c>
      <c r="N77" s="99">
        <f t="shared" ref="N77:N79" si="91">O77+R77</f>
        <v>108</v>
      </c>
      <c r="O77" s="100">
        <f t="shared" ref="O77:O79" si="92">P77+Q77</f>
        <v>34</v>
      </c>
      <c r="P77" s="100">
        <f t="shared" ref="P77:R77" si="89">U77+Y77+AD77+AH77+AM77+AQ77+AV77+AZ77</f>
        <v>16</v>
      </c>
      <c r="Q77" s="100">
        <f t="shared" si="89"/>
        <v>18</v>
      </c>
      <c r="R77" s="101">
        <f t="shared" si="89"/>
        <v>74</v>
      </c>
      <c r="S77" s="102"/>
      <c r="T77" s="103"/>
      <c r="U77" s="100"/>
      <c r="V77" s="100"/>
      <c r="W77" s="100"/>
      <c r="X77" s="103"/>
      <c r="Y77" s="100"/>
      <c r="Z77" s="100"/>
      <c r="AA77" s="105"/>
      <c r="AB77" s="106"/>
      <c r="AC77" s="103"/>
      <c r="AD77" s="100"/>
      <c r="AE77" s="100"/>
      <c r="AF77" s="100"/>
      <c r="AG77" s="103"/>
      <c r="AH77" s="100"/>
      <c r="AI77" s="100"/>
      <c r="AJ77" s="101"/>
      <c r="AK77" s="102">
        <v>3.0</v>
      </c>
      <c r="AL77" s="103"/>
      <c r="AM77" s="100"/>
      <c r="AN77" s="100"/>
      <c r="AO77" s="100"/>
      <c r="AP77" s="99">
        <v>2.0</v>
      </c>
      <c r="AQ77" s="100">
        <v>16.0</v>
      </c>
      <c r="AR77" s="100">
        <v>18.0</v>
      </c>
      <c r="AS77" s="105">
        <v>74.0</v>
      </c>
      <c r="AT77" s="106"/>
      <c r="AU77" s="103"/>
      <c r="AV77" s="100"/>
      <c r="AW77" s="100"/>
      <c r="AX77" s="100"/>
      <c r="AY77" s="103"/>
      <c r="AZ77" s="100"/>
      <c r="BA77" s="100"/>
      <c r="BB77" s="101"/>
    </row>
    <row r="78" ht="21.75" customHeight="1">
      <c r="A78" s="91" t="s">
        <v>154</v>
      </c>
      <c r="B78" s="156" t="s">
        <v>168</v>
      </c>
      <c r="C78" s="93" t="s">
        <v>50</v>
      </c>
      <c r="D78" s="94" t="str">
        <f>VLOOKUP(B78,'Матрица компетенций'!$A$4:$C$66,3,FALSE)</f>
        <v>ПКП-6</v>
      </c>
      <c r="E78" s="95"/>
      <c r="F78" s="95" t="s">
        <v>80</v>
      </c>
      <c r="G78" s="95"/>
      <c r="H78" s="95"/>
      <c r="I78" s="95"/>
      <c r="J78" s="95" t="s">
        <v>80</v>
      </c>
      <c r="K78" s="95"/>
      <c r="L78" s="97"/>
      <c r="M78" s="98">
        <f t="shared" si="90"/>
        <v>3</v>
      </c>
      <c r="N78" s="99">
        <f t="shared" si="91"/>
        <v>108</v>
      </c>
      <c r="O78" s="100">
        <f t="shared" si="92"/>
        <v>34</v>
      </c>
      <c r="P78" s="100">
        <f t="shared" ref="P78:R78" si="93">U78+Y78+AD78+AH78+AM78+AQ78+AV78+AZ78</f>
        <v>16</v>
      </c>
      <c r="Q78" s="100">
        <f t="shared" si="93"/>
        <v>18</v>
      </c>
      <c r="R78" s="101">
        <f t="shared" si="93"/>
        <v>74</v>
      </c>
      <c r="S78" s="102"/>
      <c r="T78" s="103"/>
      <c r="U78" s="100"/>
      <c r="V78" s="100"/>
      <c r="W78" s="100"/>
      <c r="X78" s="103"/>
      <c r="Y78" s="100"/>
      <c r="Z78" s="100"/>
      <c r="AA78" s="105"/>
      <c r="AB78" s="106"/>
      <c r="AC78" s="103"/>
      <c r="AD78" s="100"/>
      <c r="AE78" s="100"/>
      <c r="AF78" s="100"/>
      <c r="AG78" s="103"/>
      <c r="AH78" s="100"/>
      <c r="AI78" s="100"/>
      <c r="AJ78" s="101"/>
      <c r="AK78" s="102"/>
      <c r="AL78" s="103"/>
      <c r="AM78" s="100"/>
      <c r="AN78" s="100"/>
      <c r="AO78" s="100"/>
      <c r="AP78" s="103"/>
      <c r="AQ78" s="100"/>
      <c r="AR78" s="100"/>
      <c r="AS78" s="105"/>
      <c r="AT78" s="106">
        <v>3.0</v>
      </c>
      <c r="AU78" s="99">
        <v>2.0</v>
      </c>
      <c r="AV78" s="100">
        <v>16.0</v>
      </c>
      <c r="AW78" s="100">
        <v>18.0</v>
      </c>
      <c r="AX78" s="100">
        <v>74.0</v>
      </c>
      <c r="AY78" s="103"/>
      <c r="AZ78" s="100"/>
      <c r="BA78" s="100"/>
      <c r="BB78" s="101"/>
    </row>
    <row r="79" ht="12.75" customHeight="1">
      <c r="A79" s="91" t="s">
        <v>156</v>
      </c>
      <c r="B79" s="142" t="s">
        <v>169</v>
      </c>
      <c r="C79" s="93" t="s">
        <v>50</v>
      </c>
      <c r="D79" s="94" t="str">
        <f>VLOOKUP(B79,'Матрица компетенций'!$A$4:$C$66,3,FALSE)</f>
        <v>ПКП-6</v>
      </c>
      <c r="E79" s="95" t="s">
        <v>80</v>
      </c>
      <c r="F79" s="95"/>
      <c r="G79" s="95"/>
      <c r="H79" s="95"/>
      <c r="I79" s="95"/>
      <c r="J79" s="95" t="s">
        <v>80</v>
      </c>
      <c r="K79" s="95"/>
      <c r="L79" s="97"/>
      <c r="M79" s="98">
        <f t="shared" si="90"/>
        <v>3</v>
      </c>
      <c r="N79" s="99">
        <f t="shared" si="91"/>
        <v>108</v>
      </c>
      <c r="O79" s="100">
        <f t="shared" si="92"/>
        <v>50</v>
      </c>
      <c r="P79" s="100">
        <f t="shared" ref="P79:R79" si="94">U79+Y79+AD79+AH79+AM79+AQ79+AV79+AZ79</f>
        <v>16</v>
      </c>
      <c r="Q79" s="100">
        <f t="shared" si="94"/>
        <v>34</v>
      </c>
      <c r="R79" s="101">
        <f t="shared" si="94"/>
        <v>58</v>
      </c>
      <c r="S79" s="102"/>
      <c r="T79" s="103"/>
      <c r="U79" s="100"/>
      <c r="V79" s="100"/>
      <c r="W79" s="100"/>
      <c r="X79" s="103"/>
      <c r="Y79" s="100"/>
      <c r="Z79" s="100"/>
      <c r="AA79" s="105"/>
      <c r="AB79" s="106"/>
      <c r="AC79" s="103"/>
      <c r="AD79" s="100"/>
      <c r="AE79" s="100"/>
      <c r="AF79" s="100"/>
      <c r="AG79" s="103"/>
      <c r="AH79" s="100"/>
      <c r="AI79" s="100"/>
      <c r="AJ79" s="101"/>
      <c r="AK79" s="102"/>
      <c r="AL79" s="103"/>
      <c r="AM79" s="100"/>
      <c r="AN79" s="100"/>
      <c r="AO79" s="100"/>
      <c r="AP79" s="103"/>
      <c r="AQ79" s="100"/>
      <c r="AR79" s="100"/>
      <c r="AS79" s="105"/>
      <c r="AT79" s="106">
        <v>3.0</v>
      </c>
      <c r="AU79" s="99">
        <v>3.0</v>
      </c>
      <c r="AV79" s="100">
        <v>16.0</v>
      </c>
      <c r="AW79" s="100">
        <v>34.0</v>
      </c>
      <c r="AX79" s="100">
        <v>58.0</v>
      </c>
      <c r="AY79" s="103"/>
      <c r="AZ79" s="100"/>
      <c r="BA79" s="100"/>
      <c r="BB79" s="101"/>
    </row>
    <row r="80" ht="12.75" customHeight="1">
      <c r="A80" s="163" t="s">
        <v>142</v>
      </c>
      <c r="B80" s="164" t="s">
        <v>170</v>
      </c>
      <c r="C80" s="175"/>
      <c r="D80" s="175"/>
      <c r="E80" s="176"/>
      <c r="F80" s="176"/>
      <c r="G80" s="176"/>
      <c r="H80" s="176"/>
      <c r="I80" s="176"/>
      <c r="J80" s="176"/>
      <c r="K80" s="176"/>
      <c r="L80" s="177"/>
      <c r="M80" s="178">
        <f t="shared" ref="M80:BB80" si="95">M81+M82+M83</f>
        <v>9</v>
      </c>
      <c r="N80" s="179">
        <f t="shared" si="95"/>
        <v>324</v>
      </c>
      <c r="O80" s="179">
        <f t="shared" si="95"/>
        <v>150</v>
      </c>
      <c r="P80" s="179">
        <f t="shared" si="95"/>
        <v>48</v>
      </c>
      <c r="Q80" s="179">
        <f t="shared" si="95"/>
        <v>102</v>
      </c>
      <c r="R80" s="180">
        <f t="shared" si="95"/>
        <v>174</v>
      </c>
      <c r="S80" s="181">
        <f t="shared" si="95"/>
        <v>0</v>
      </c>
      <c r="T80" s="182">
        <f t="shared" si="95"/>
        <v>0</v>
      </c>
      <c r="U80" s="179">
        <f t="shared" si="95"/>
        <v>0</v>
      </c>
      <c r="V80" s="179">
        <f t="shared" si="95"/>
        <v>0</v>
      </c>
      <c r="W80" s="179">
        <f t="shared" si="95"/>
        <v>0</v>
      </c>
      <c r="X80" s="182">
        <f t="shared" si="95"/>
        <v>0</v>
      </c>
      <c r="Y80" s="179">
        <f t="shared" si="95"/>
        <v>0</v>
      </c>
      <c r="Z80" s="179">
        <f t="shared" si="95"/>
        <v>0</v>
      </c>
      <c r="AA80" s="183">
        <f t="shared" si="95"/>
        <v>0</v>
      </c>
      <c r="AB80" s="178">
        <f t="shared" si="95"/>
        <v>0</v>
      </c>
      <c r="AC80" s="182">
        <f t="shared" si="95"/>
        <v>0</v>
      </c>
      <c r="AD80" s="179">
        <f t="shared" si="95"/>
        <v>0</v>
      </c>
      <c r="AE80" s="179">
        <f t="shared" si="95"/>
        <v>0</v>
      </c>
      <c r="AF80" s="179">
        <f t="shared" si="95"/>
        <v>0</v>
      </c>
      <c r="AG80" s="182">
        <f t="shared" si="95"/>
        <v>0</v>
      </c>
      <c r="AH80" s="179">
        <f t="shared" si="95"/>
        <v>0</v>
      </c>
      <c r="AI80" s="179">
        <f t="shared" si="95"/>
        <v>0</v>
      </c>
      <c r="AJ80" s="180">
        <f t="shared" si="95"/>
        <v>0</v>
      </c>
      <c r="AK80" s="181">
        <f t="shared" si="95"/>
        <v>3</v>
      </c>
      <c r="AL80" s="182">
        <f t="shared" si="95"/>
        <v>0</v>
      </c>
      <c r="AM80" s="179">
        <f t="shared" si="95"/>
        <v>0</v>
      </c>
      <c r="AN80" s="179">
        <f t="shared" si="95"/>
        <v>0</v>
      </c>
      <c r="AO80" s="179">
        <f t="shared" si="95"/>
        <v>0</v>
      </c>
      <c r="AP80" s="179">
        <f t="shared" si="95"/>
        <v>3</v>
      </c>
      <c r="AQ80" s="179">
        <f t="shared" si="95"/>
        <v>16</v>
      </c>
      <c r="AR80" s="179">
        <f t="shared" si="95"/>
        <v>34</v>
      </c>
      <c r="AS80" s="183">
        <f t="shared" si="95"/>
        <v>58</v>
      </c>
      <c r="AT80" s="178">
        <f t="shared" si="95"/>
        <v>6</v>
      </c>
      <c r="AU80" s="179">
        <f t="shared" si="95"/>
        <v>6</v>
      </c>
      <c r="AV80" s="179">
        <f t="shared" si="95"/>
        <v>32</v>
      </c>
      <c r="AW80" s="179">
        <f t="shared" si="95"/>
        <v>68</v>
      </c>
      <c r="AX80" s="179">
        <f t="shared" si="95"/>
        <v>116</v>
      </c>
      <c r="AY80" s="182">
        <f t="shared" si="95"/>
        <v>0</v>
      </c>
      <c r="AZ80" s="179">
        <f t="shared" si="95"/>
        <v>0</v>
      </c>
      <c r="BA80" s="179">
        <f t="shared" si="95"/>
        <v>0</v>
      </c>
      <c r="BB80" s="180">
        <f t="shared" si="95"/>
        <v>0</v>
      </c>
    </row>
    <row r="81" ht="12.75" customHeight="1">
      <c r="A81" s="91" t="s">
        <v>152</v>
      </c>
      <c r="B81" s="184" t="s">
        <v>171</v>
      </c>
      <c r="C81" s="93" t="s">
        <v>50</v>
      </c>
      <c r="D81" s="94" t="str">
        <f>VLOOKUP(B81,'Матрица компетенций'!$A$4:$C$66,3,FALSE)</f>
        <v>ПКП-6</v>
      </c>
      <c r="E81" s="95"/>
      <c r="F81" s="95" t="s">
        <v>68</v>
      </c>
      <c r="G81" s="95"/>
      <c r="H81" s="95"/>
      <c r="I81" s="95"/>
      <c r="J81" s="95" t="s">
        <v>68</v>
      </c>
      <c r="K81" s="95"/>
      <c r="L81" s="97"/>
      <c r="M81" s="98">
        <f t="shared" ref="M81:M83" si="97">N81/36</f>
        <v>3</v>
      </c>
      <c r="N81" s="99">
        <f t="shared" ref="N81:N83" si="98">O81+R81</f>
        <v>108</v>
      </c>
      <c r="O81" s="100">
        <f t="shared" ref="O81:O83" si="99">P81+Q81</f>
        <v>50</v>
      </c>
      <c r="P81" s="100">
        <f t="shared" ref="P81:R81" si="96">U81+Y81+AD81+AH81+AM81+AQ81+AV81+AZ81</f>
        <v>16</v>
      </c>
      <c r="Q81" s="100">
        <f t="shared" si="96"/>
        <v>34</v>
      </c>
      <c r="R81" s="101">
        <f t="shared" si="96"/>
        <v>58</v>
      </c>
      <c r="S81" s="102"/>
      <c r="T81" s="103"/>
      <c r="U81" s="100"/>
      <c r="V81" s="100"/>
      <c r="W81" s="100"/>
      <c r="X81" s="103"/>
      <c r="Y81" s="100"/>
      <c r="Z81" s="100"/>
      <c r="AA81" s="105"/>
      <c r="AB81" s="106"/>
      <c r="AC81" s="103"/>
      <c r="AD81" s="100"/>
      <c r="AE81" s="100"/>
      <c r="AF81" s="100"/>
      <c r="AG81" s="103"/>
      <c r="AH81" s="100"/>
      <c r="AI81" s="100"/>
      <c r="AJ81" s="101"/>
      <c r="AK81" s="102">
        <v>3.0</v>
      </c>
      <c r="AL81" s="103"/>
      <c r="AM81" s="100"/>
      <c r="AN81" s="100"/>
      <c r="AO81" s="100"/>
      <c r="AP81" s="99">
        <v>3.0</v>
      </c>
      <c r="AQ81" s="100">
        <v>16.0</v>
      </c>
      <c r="AR81" s="100">
        <v>34.0</v>
      </c>
      <c r="AS81" s="105">
        <v>58.0</v>
      </c>
      <c r="AT81" s="106"/>
      <c r="AU81" s="103"/>
      <c r="AV81" s="100"/>
      <c r="AW81" s="100"/>
      <c r="AX81" s="100"/>
      <c r="AY81" s="103"/>
      <c r="AZ81" s="100"/>
      <c r="BA81" s="100"/>
      <c r="BB81" s="101"/>
    </row>
    <row r="82" ht="12.75" customHeight="1">
      <c r="A82" s="91" t="s">
        <v>154</v>
      </c>
      <c r="B82" s="92" t="s">
        <v>172</v>
      </c>
      <c r="C82" s="93" t="s">
        <v>50</v>
      </c>
      <c r="D82" s="94" t="str">
        <f>VLOOKUP(B82,'Матрица компетенций'!$A$4:$C$66,3,FALSE)</f>
        <v>ПКП-6</v>
      </c>
      <c r="E82" s="95"/>
      <c r="F82" s="95" t="s">
        <v>80</v>
      </c>
      <c r="G82" s="95"/>
      <c r="H82" s="95"/>
      <c r="I82" s="95"/>
      <c r="J82" s="95" t="s">
        <v>80</v>
      </c>
      <c r="K82" s="95"/>
      <c r="L82" s="97"/>
      <c r="M82" s="98">
        <f t="shared" si="97"/>
        <v>3</v>
      </c>
      <c r="N82" s="99">
        <f t="shared" si="98"/>
        <v>108</v>
      </c>
      <c r="O82" s="100">
        <f t="shared" si="99"/>
        <v>50</v>
      </c>
      <c r="P82" s="100">
        <f t="shared" ref="P82:R82" si="100">U82+Y82+AD82+AH82+AM82+AQ82+AV82+AZ82</f>
        <v>16</v>
      </c>
      <c r="Q82" s="100">
        <f t="shared" si="100"/>
        <v>34</v>
      </c>
      <c r="R82" s="101">
        <f t="shared" si="100"/>
        <v>58</v>
      </c>
      <c r="S82" s="102"/>
      <c r="T82" s="103"/>
      <c r="U82" s="100"/>
      <c r="V82" s="100"/>
      <c r="W82" s="100"/>
      <c r="X82" s="103"/>
      <c r="Y82" s="100"/>
      <c r="Z82" s="100"/>
      <c r="AA82" s="105"/>
      <c r="AB82" s="106"/>
      <c r="AC82" s="103"/>
      <c r="AD82" s="100"/>
      <c r="AE82" s="100"/>
      <c r="AF82" s="100"/>
      <c r="AG82" s="103"/>
      <c r="AH82" s="100"/>
      <c r="AI82" s="100"/>
      <c r="AJ82" s="101"/>
      <c r="AK82" s="102"/>
      <c r="AL82" s="103"/>
      <c r="AM82" s="100"/>
      <c r="AN82" s="100"/>
      <c r="AO82" s="100"/>
      <c r="AP82" s="103"/>
      <c r="AQ82" s="100"/>
      <c r="AR82" s="100"/>
      <c r="AS82" s="105"/>
      <c r="AT82" s="106">
        <v>3.0</v>
      </c>
      <c r="AU82" s="99">
        <v>3.0</v>
      </c>
      <c r="AV82" s="100">
        <v>16.0</v>
      </c>
      <c r="AW82" s="100">
        <v>34.0</v>
      </c>
      <c r="AX82" s="100">
        <v>58.0</v>
      </c>
      <c r="AY82" s="103"/>
      <c r="AZ82" s="100"/>
      <c r="BA82" s="100"/>
      <c r="BB82" s="101"/>
    </row>
    <row r="83" ht="12.75" customHeight="1">
      <c r="A83" s="91" t="s">
        <v>156</v>
      </c>
      <c r="B83" s="92" t="s">
        <v>173</v>
      </c>
      <c r="C83" s="93" t="s">
        <v>50</v>
      </c>
      <c r="D83" s="94" t="str">
        <f>VLOOKUP(B83,'Матрица компетенций'!$A$4:$C$66,3,FALSE)</f>
        <v>ПКП-6</v>
      </c>
      <c r="E83" s="95" t="s">
        <v>80</v>
      </c>
      <c r="F83" s="95"/>
      <c r="G83" s="95"/>
      <c r="H83" s="95"/>
      <c r="I83" s="95"/>
      <c r="J83" s="95" t="s">
        <v>80</v>
      </c>
      <c r="K83" s="95"/>
      <c r="L83" s="97"/>
      <c r="M83" s="98">
        <f t="shared" si="97"/>
        <v>3</v>
      </c>
      <c r="N83" s="99">
        <f t="shared" si="98"/>
        <v>108</v>
      </c>
      <c r="O83" s="100">
        <f t="shared" si="99"/>
        <v>50</v>
      </c>
      <c r="P83" s="100">
        <f t="shared" ref="P83:R83" si="101">U83+Y83+AD83+AH83+AM83+AQ83+AV83+AZ83</f>
        <v>16</v>
      </c>
      <c r="Q83" s="100">
        <f t="shared" si="101"/>
        <v>34</v>
      </c>
      <c r="R83" s="101">
        <f t="shared" si="101"/>
        <v>58</v>
      </c>
      <c r="S83" s="102"/>
      <c r="T83" s="103"/>
      <c r="U83" s="100"/>
      <c r="V83" s="100"/>
      <c r="W83" s="100"/>
      <c r="X83" s="103"/>
      <c r="Y83" s="100"/>
      <c r="Z83" s="100"/>
      <c r="AA83" s="105"/>
      <c r="AB83" s="106"/>
      <c r="AC83" s="103"/>
      <c r="AD83" s="100"/>
      <c r="AE83" s="100"/>
      <c r="AF83" s="100"/>
      <c r="AG83" s="103"/>
      <c r="AH83" s="100"/>
      <c r="AI83" s="100"/>
      <c r="AJ83" s="101"/>
      <c r="AK83" s="102"/>
      <c r="AL83" s="103"/>
      <c r="AM83" s="100"/>
      <c r="AN83" s="100"/>
      <c r="AO83" s="100"/>
      <c r="AP83" s="103"/>
      <c r="AQ83" s="100"/>
      <c r="AR83" s="100"/>
      <c r="AS83" s="105"/>
      <c r="AT83" s="106">
        <v>3.0</v>
      </c>
      <c r="AU83" s="99">
        <v>3.0</v>
      </c>
      <c r="AV83" s="100">
        <v>16.0</v>
      </c>
      <c r="AW83" s="100">
        <v>34.0</v>
      </c>
      <c r="AX83" s="100">
        <v>58.0</v>
      </c>
      <c r="AY83" s="103"/>
      <c r="AZ83" s="100"/>
      <c r="BA83" s="100"/>
      <c r="BB83" s="101"/>
    </row>
    <row r="84" ht="12.75" customHeight="1">
      <c r="A84" s="163" t="s">
        <v>142</v>
      </c>
      <c r="B84" s="164" t="s">
        <v>174</v>
      </c>
      <c r="C84" s="175"/>
      <c r="D84" s="175"/>
      <c r="E84" s="176"/>
      <c r="F84" s="176"/>
      <c r="G84" s="176"/>
      <c r="H84" s="176"/>
      <c r="I84" s="176"/>
      <c r="J84" s="176"/>
      <c r="K84" s="176"/>
      <c r="L84" s="177"/>
      <c r="M84" s="178">
        <f t="shared" ref="M84:BB84" si="102">M85+M86+M87</f>
        <v>9</v>
      </c>
      <c r="N84" s="179">
        <f t="shared" si="102"/>
        <v>324</v>
      </c>
      <c r="O84" s="179">
        <f t="shared" si="102"/>
        <v>134</v>
      </c>
      <c r="P84" s="179">
        <f t="shared" si="102"/>
        <v>48</v>
      </c>
      <c r="Q84" s="179">
        <f t="shared" si="102"/>
        <v>86</v>
      </c>
      <c r="R84" s="180">
        <f t="shared" si="102"/>
        <v>190</v>
      </c>
      <c r="S84" s="181">
        <f t="shared" si="102"/>
        <v>0</v>
      </c>
      <c r="T84" s="182">
        <f t="shared" si="102"/>
        <v>0</v>
      </c>
      <c r="U84" s="179">
        <f t="shared" si="102"/>
        <v>0</v>
      </c>
      <c r="V84" s="179">
        <f t="shared" si="102"/>
        <v>0</v>
      </c>
      <c r="W84" s="179">
        <f t="shared" si="102"/>
        <v>0</v>
      </c>
      <c r="X84" s="182">
        <f t="shared" si="102"/>
        <v>0</v>
      </c>
      <c r="Y84" s="179">
        <f t="shared" si="102"/>
        <v>0</v>
      </c>
      <c r="Z84" s="179">
        <f t="shared" si="102"/>
        <v>0</v>
      </c>
      <c r="AA84" s="183">
        <f t="shared" si="102"/>
        <v>0</v>
      </c>
      <c r="AB84" s="178">
        <f t="shared" si="102"/>
        <v>0</v>
      </c>
      <c r="AC84" s="182">
        <f t="shared" si="102"/>
        <v>0</v>
      </c>
      <c r="AD84" s="179">
        <f t="shared" si="102"/>
        <v>0</v>
      </c>
      <c r="AE84" s="179">
        <f t="shared" si="102"/>
        <v>0</v>
      </c>
      <c r="AF84" s="179">
        <f t="shared" si="102"/>
        <v>0</v>
      </c>
      <c r="AG84" s="182">
        <f t="shared" si="102"/>
        <v>0</v>
      </c>
      <c r="AH84" s="179">
        <f t="shared" si="102"/>
        <v>0</v>
      </c>
      <c r="AI84" s="179">
        <f t="shared" si="102"/>
        <v>0</v>
      </c>
      <c r="AJ84" s="180">
        <f t="shared" si="102"/>
        <v>0</v>
      </c>
      <c r="AK84" s="181">
        <f t="shared" si="102"/>
        <v>3</v>
      </c>
      <c r="AL84" s="182">
        <f t="shared" si="102"/>
        <v>0</v>
      </c>
      <c r="AM84" s="179">
        <f t="shared" si="102"/>
        <v>0</v>
      </c>
      <c r="AN84" s="179">
        <f t="shared" si="102"/>
        <v>0</v>
      </c>
      <c r="AO84" s="179">
        <f t="shared" si="102"/>
        <v>0</v>
      </c>
      <c r="AP84" s="179">
        <f t="shared" si="102"/>
        <v>2</v>
      </c>
      <c r="AQ84" s="179">
        <f t="shared" si="102"/>
        <v>16</v>
      </c>
      <c r="AR84" s="179">
        <f t="shared" si="102"/>
        <v>18</v>
      </c>
      <c r="AS84" s="183">
        <f t="shared" si="102"/>
        <v>74</v>
      </c>
      <c r="AT84" s="178">
        <f t="shared" si="102"/>
        <v>6</v>
      </c>
      <c r="AU84" s="179">
        <f t="shared" si="102"/>
        <v>6</v>
      </c>
      <c r="AV84" s="179">
        <f t="shared" si="102"/>
        <v>32</v>
      </c>
      <c r="AW84" s="179">
        <f t="shared" si="102"/>
        <v>68</v>
      </c>
      <c r="AX84" s="179">
        <f t="shared" si="102"/>
        <v>116</v>
      </c>
      <c r="AY84" s="182">
        <f t="shared" si="102"/>
        <v>0</v>
      </c>
      <c r="AZ84" s="179">
        <f t="shared" si="102"/>
        <v>0</v>
      </c>
      <c r="BA84" s="179">
        <f t="shared" si="102"/>
        <v>0</v>
      </c>
      <c r="BB84" s="180">
        <f t="shared" si="102"/>
        <v>0</v>
      </c>
    </row>
    <row r="85" ht="24.0" customHeight="1">
      <c r="A85" s="91" t="s">
        <v>152</v>
      </c>
      <c r="B85" s="184" t="s">
        <v>175</v>
      </c>
      <c r="C85" s="93" t="s">
        <v>50</v>
      </c>
      <c r="D85" s="94" t="str">
        <f>VLOOKUP(B85,'Матрица компетенций'!$A$4:$C$66,3,FALSE)</f>
        <v>ПКП-6</v>
      </c>
      <c r="E85" s="95"/>
      <c r="F85" s="95" t="s">
        <v>68</v>
      </c>
      <c r="G85" s="95"/>
      <c r="H85" s="95"/>
      <c r="I85" s="95"/>
      <c r="J85" s="95" t="s">
        <v>68</v>
      </c>
      <c r="K85" s="95"/>
      <c r="L85" s="97"/>
      <c r="M85" s="98">
        <f t="shared" ref="M85:M87" si="104">N85/36</f>
        <v>3</v>
      </c>
      <c r="N85" s="99">
        <f t="shared" ref="N85:N87" si="105">O85+R85</f>
        <v>108</v>
      </c>
      <c r="O85" s="100">
        <f t="shared" ref="O85:O87" si="106">P85+Q85</f>
        <v>34</v>
      </c>
      <c r="P85" s="100">
        <f t="shared" ref="P85:R85" si="103">U85+Y85+AD85+AH85+AM85+AQ85+AV85+AZ85</f>
        <v>16</v>
      </c>
      <c r="Q85" s="100">
        <f t="shared" si="103"/>
        <v>18</v>
      </c>
      <c r="R85" s="101">
        <f t="shared" si="103"/>
        <v>74</v>
      </c>
      <c r="S85" s="102"/>
      <c r="T85" s="103"/>
      <c r="U85" s="100"/>
      <c r="V85" s="100"/>
      <c r="W85" s="100"/>
      <c r="X85" s="103"/>
      <c r="Y85" s="100"/>
      <c r="Z85" s="100"/>
      <c r="AA85" s="105"/>
      <c r="AB85" s="106"/>
      <c r="AC85" s="103"/>
      <c r="AD85" s="100"/>
      <c r="AE85" s="100"/>
      <c r="AF85" s="100"/>
      <c r="AG85" s="103"/>
      <c r="AH85" s="100"/>
      <c r="AI85" s="100"/>
      <c r="AJ85" s="101"/>
      <c r="AK85" s="102">
        <v>3.0</v>
      </c>
      <c r="AL85" s="103"/>
      <c r="AM85" s="100"/>
      <c r="AN85" s="100"/>
      <c r="AO85" s="100"/>
      <c r="AP85" s="99">
        <v>2.0</v>
      </c>
      <c r="AQ85" s="100">
        <v>16.0</v>
      </c>
      <c r="AR85" s="100">
        <v>18.0</v>
      </c>
      <c r="AS85" s="105">
        <v>74.0</v>
      </c>
      <c r="AT85" s="106"/>
      <c r="AU85" s="103"/>
      <c r="AV85" s="100"/>
      <c r="AW85" s="100"/>
      <c r="AX85" s="100"/>
      <c r="AY85" s="103"/>
      <c r="AZ85" s="100"/>
      <c r="BA85" s="100"/>
      <c r="BB85" s="101"/>
    </row>
    <row r="86" ht="12.75" customHeight="1">
      <c r="A86" s="91" t="s">
        <v>154</v>
      </c>
      <c r="B86" s="92" t="s">
        <v>176</v>
      </c>
      <c r="C86" s="93" t="s">
        <v>50</v>
      </c>
      <c r="D86" s="94" t="str">
        <f>VLOOKUP(B86,'Матрица компетенций'!$A$4:$C$66,3,FALSE)</f>
        <v>ПКП-6</v>
      </c>
      <c r="E86" s="95"/>
      <c r="F86" s="95" t="s">
        <v>80</v>
      </c>
      <c r="G86" s="95"/>
      <c r="H86" s="95"/>
      <c r="I86" s="95"/>
      <c r="J86" s="95" t="s">
        <v>80</v>
      </c>
      <c r="K86" s="95"/>
      <c r="L86" s="97"/>
      <c r="M86" s="98">
        <f t="shared" si="104"/>
        <v>3</v>
      </c>
      <c r="N86" s="99">
        <f t="shared" si="105"/>
        <v>108</v>
      </c>
      <c r="O86" s="100">
        <f t="shared" si="106"/>
        <v>50</v>
      </c>
      <c r="P86" s="100">
        <f t="shared" ref="P86:R86" si="107">U86+Y86+AD86+AH86+AM86+AQ86+AV86+AZ86</f>
        <v>16</v>
      </c>
      <c r="Q86" s="100">
        <f t="shared" si="107"/>
        <v>34</v>
      </c>
      <c r="R86" s="101">
        <f t="shared" si="107"/>
        <v>58</v>
      </c>
      <c r="S86" s="102"/>
      <c r="T86" s="103"/>
      <c r="U86" s="100"/>
      <c r="V86" s="100"/>
      <c r="W86" s="100"/>
      <c r="X86" s="103"/>
      <c r="Y86" s="100"/>
      <c r="Z86" s="100"/>
      <c r="AA86" s="105"/>
      <c r="AB86" s="106"/>
      <c r="AC86" s="103"/>
      <c r="AD86" s="100"/>
      <c r="AE86" s="100"/>
      <c r="AF86" s="100"/>
      <c r="AG86" s="103"/>
      <c r="AH86" s="100"/>
      <c r="AI86" s="100"/>
      <c r="AJ86" s="101"/>
      <c r="AK86" s="102"/>
      <c r="AL86" s="103"/>
      <c r="AM86" s="100"/>
      <c r="AN86" s="100"/>
      <c r="AO86" s="100"/>
      <c r="AP86" s="103"/>
      <c r="AQ86" s="100"/>
      <c r="AR86" s="100"/>
      <c r="AS86" s="105"/>
      <c r="AT86" s="106">
        <v>3.0</v>
      </c>
      <c r="AU86" s="99">
        <v>3.0</v>
      </c>
      <c r="AV86" s="100">
        <v>16.0</v>
      </c>
      <c r="AW86" s="100">
        <v>34.0</v>
      </c>
      <c r="AX86" s="100">
        <v>58.0</v>
      </c>
      <c r="AY86" s="103"/>
      <c r="AZ86" s="100"/>
      <c r="BA86" s="100"/>
      <c r="BB86" s="101"/>
    </row>
    <row r="87" ht="12.75" customHeight="1">
      <c r="A87" s="91" t="s">
        <v>156</v>
      </c>
      <c r="B87" s="92" t="s">
        <v>177</v>
      </c>
      <c r="C87" s="93" t="s">
        <v>50</v>
      </c>
      <c r="D87" s="94" t="str">
        <f>VLOOKUP(B87,'Матрица компетенций'!$A$4:$C$66,3,FALSE)</f>
        <v>ПКП-6</v>
      </c>
      <c r="E87" s="95" t="s">
        <v>80</v>
      </c>
      <c r="F87" s="95"/>
      <c r="G87" s="95"/>
      <c r="H87" s="95"/>
      <c r="I87" s="95"/>
      <c r="J87" s="95" t="s">
        <v>80</v>
      </c>
      <c r="K87" s="95"/>
      <c r="L87" s="97"/>
      <c r="M87" s="185">
        <f t="shared" si="104"/>
        <v>3</v>
      </c>
      <c r="N87" s="145">
        <f t="shared" si="105"/>
        <v>108</v>
      </c>
      <c r="O87" s="146">
        <f t="shared" si="106"/>
        <v>50</v>
      </c>
      <c r="P87" s="146">
        <f t="shared" ref="P87:R87" si="108">U87+Y87+AD87+AH87+AM87+AQ87+AV87+AZ87</f>
        <v>16</v>
      </c>
      <c r="Q87" s="146">
        <f t="shared" si="108"/>
        <v>34</v>
      </c>
      <c r="R87" s="147">
        <f t="shared" si="108"/>
        <v>58</v>
      </c>
      <c r="S87" s="186"/>
      <c r="T87" s="187"/>
      <c r="U87" s="146"/>
      <c r="V87" s="146"/>
      <c r="W87" s="146"/>
      <c r="X87" s="187"/>
      <c r="Y87" s="146"/>
      <c r="Z87" s="146"/>
      <c r="AA87" s="188"/>
      <c r="AB87" s="106"/>
      <c r="AC87" s="103"/>
      <c r="AD87" s="100"/>
      <c r="AE87" s="100"/>
      <c r="AF87" s="100"/>
      <c r="AG87" s="103"/>
      <c r="AH87" s="100"/>
      <c r="AI87" s="100"/>
      <c r="AJ87" s="101"/>
      <c r="AK87" s="102"/>
      <c r="AL87" s="103"/>
      <c r="AM87" s="100"/>
      <c r="AN87" s="100"/>
      <c r="AO87" s="100"/>
      <c r="AP87" s="103"/>
      <c r="AQ87" s="100"/>
      <c r="AR87" s="100"/>
      <c r="AS87" s="105"/>
      <c r="AT87" s="106">
        <v>3.0</v>
      </c>
      <c r="AU87" s="99">
        <v>3.0</v>
      </c>
      <c r="AV87" s="100">
        <v>16.0</v>
      </c>
      <c r="AW87" s="100">
        <v>34.0</v>
      </c>
      <c r="AX87" s="100">
        <v>58.0</v>
      </c>
      <c r="AY87" s="103"/>
      <c r="AZ87" s="100"/>
      <c r="BA87" s="100"/>
      <c r="BB87" s="101"/>
    </row>
    <row r="88">
      <c r="A88" s="189" t="s">
        <v>178</v>
      </c>
      <c r="B88" s="190" t="s">
        <v>179</v>
      </c>
      <c r="C88" s="191"/>
      <c r="D88" s="191"/>
      <c r="E88" s="192"/>
      <c r="F88" s="192"/>
      <c r="G88" s="192"/>
      <c r="H88" s="192"/>
      <c r="I88" s="192"/>
      <c r="J88" s="192"/>
      <c r="K88" s="192"/>
      <c r="L88" s="193"/>
      <c r="M88" s="194">
        <f t="shared" ref="M88:BB88" si="109">M89+M91+M94</f>
        <v>24</v>
      </c>
      <c r="N88" s="195">
        <f t="shared" si="109"/>
        <v>0</v>
      </c>
      <c r="O88" s="195">
        <f t="shared" si="109"/>
        <v>0</v>
      </c>
      <c r="P88" s="195">
        <f t="shared" si="109"/>
        <v>0</v>
      </c>
      <c r="Q88" s="195">
        <f t="shared" si="109"/>
        <v>0</v>
      </c>
      <c r="R88" s="196">
        <f t="shared" si="109"/>
        <v>0</v>
      </c>
      <c r="S88" s="197">
        <f t="shared" si="109"/>
        <v>0</v>
      </c>
      <c r="T88" s="195">
        <f t="shared" si="109"/>
        <v>0</v>
      </c>
      <c r="U88" s="195">
        <f t="shared" si="109"/>
        <v>0</v>
      </c>
      <c r="V88" s="195">
        <f t="shared" si="109"/>
        <v>0</v>
      </c>
      <c r="W88" s="195">
        <f t="shared" si="109"/>
        <v>0</v>
      </c>
      <c r="X88" s="195">
        <f t="shared" si="109"/>
        <v>0</v>
      </c>
      <c r="Y88" s="195">
        <f t="shared" si="109"/>
        <v>0</v>
      </c>
      <c r="Z88" s="195">
        <f t="shared" si="109"/>
        <v>0</v>
      </c>
      <c r="AA88" s="198">
        <f t="shared" si="109"/>
        <v>0</v>
      </c>
      <c r="AB88" s="194">
        <f t="shared" si="109"/>
        <v>1</v>
      </c>
      <c r="AC88" s="194">
        <f t="shared" si="109"/>
        <v>0</v>
      </c>
      <c r="AD88" s="194">
        <f t="shared" si="109"/>
        <v>0</v>
      </c>
      <c r="AE88" s="194">
        <f t="shared" si="109"/>
        <v>0</v>
      </c>
      <c r="AF88" s="194">
        <f t="shared" si="109"/>
        <v>0</v>
      </c>
      <c r="AG88" s="194">
        <f t="shared" si="109"/>
        <v>0</v>
      </c>
      <c r="AH88" s="194">
        <f t="shared" si="109"/>
        <v>0</v>
      </c>
      <c r="AI88" s="194">
        <f t="shared" si="109"/>
        <v>0</v>
      </c>
      <c r="AJ88" s="199">
        <f t="shared" si="109"/>
        <v>0</v>
      </c>
      <c r="AK88" s="197">
        <f t="shared" si="109"/>
        <v>1</v>
      </c>
      <c r="AL88" s="194">
        <f t="shared" si="109"/>
        <v>0</v>
      </c>
      <c r="AM88" s="194">
        <f t="shared" si="109"/>
        <v>0</v>
      </c>
      <c r="AN88" s="194">
        <f t="shared" si="109"/>
        <v>0</v>
      </c>
      <c r="AO88" s="194">
        <f t="shared" si="109"/>
        <v>0</v>
      </c>
      <c r="AP88" s="194">
        <f t="shared" si="109"/>
        <v>0</v>
      </c>
      <c r="AQ88" s="194">
        <f t="shared" si="109"/>
        <v>0</v>
      </c>
      <c r="AR88" s="194">
        <f t="shared" si="109"/>
        <v>0</v>
      </c>
      <c r="AS88" s="200">
        <f t="shared" si="109"/>
        <v>0</v>
      </c>
      <c r="AT88" s="201">
        <f t="shared" si="109"/>
        <v>22</v>
      </c>
      <c r="AU88" s="201">
        <f t="shared" si="109"/>
        <v>0</v>
      </c>
      <c r="AV88" s="201">
        <f t="shared" si="109"/>
        <v>0</v>
      </c>
      <c r="AW88" s="201">
        <f t="shared" si="109"/>
        <v>0</v>
      </c>
      <c r="AX88" s="201">
        <f t="shared" si="109"/>
        <v>0</v>
      </c>
      <c r="AY88" s="201">
        <f t="shared" si="109"/>
        <v>0</v>
      </c>
      <c r="AZ88" s="201">
        <f t="shared" si="109"/>
        <v>0</v>
      </c>
      <c r="BA88" s="201">
        <f t="shared" si="109"/>
        <v>0</v>
      </c>
      <c r="BB88" s="202">
        <f t="shared" si="109"/>
        <v>0</v>
      </c>
    </row>
    <row r="89">
      <c r="A89" s="203" t="s">
        <v>180</v>
      </c>
      <c r="B89" s="184" t="s">
        <v>181</v>
      </c>
      <c r="C89" s="93" t="s">
        <v>50</v>
      </c>
      <c r="D89" s="94" t="str">
        <f>VLOOKUP(B89,'Матрица компетенций'!$A$4:$C$66,3,FALSE)</f>
        <v>УК-1, УК-12, ПКН-5, ПКН-6, ПКП-3</v>
      </c>
      <c r="E89" s="204"/>
      <c r="F89" s="95" t="s">
        <v>182</v>
      </c>
      <c r="G89" s="95"/>
      <c r="H89" s="95"/>
      <c r="I89" s="95"/>
      <c r="J89" s="95"/>
      <c r="K89" s="95"/>
      <c r="L89" s="97"/>
      <c r="M89" s="205">
        <v>6.0</v>
      </c>
      <c r="N89" s="206"/>
      <c r="O89" s="207"/>
      <c r="P89" s="207"/>
      <c r="Q89" s="207"/>
      <c r="R89" s="208"/>
      <c r="S89" s="209"/>
      <c r="T89" s="206"/>
      <c r="U89" s="207"/>
      <c r="V89" s="207"/>
      <c r="W89" s="207"/>
      <c r="X89" s="206"/>
      <c r="Y89" s="207"/>
      <c r="Z89" s="207"/>
      <c r="AA89" s="210"/>
      <c r="AB89" s="106"/>
      <c r="AC89" s="103"/>
      <c r="AD89" s="100"/>
      <c r="AE89" s="100"/>
      <c r="AF89" s="100"/>
      <c r="AG89" s="103"/>
      <c r="AH89" s="100"/>
      <c r="AI89" s="100"/>
      <c r="AJ89" s="101"/>
      <c r="AK89" s="102"/>
      <c r="AL89" s="103"/>
      <c r="AM89" s="100"/>
      <c r="AN89" s="100"/>
      <c r="AO89" s="100"/>
      <c r="AP89" s="103"/>
      <c r="AQ89" s="100"/>
      <c r="AR89" s="100"/>
      <c r="AS89" s="105"/>
      <c r="AT89" s="106">
        <v>6.0</v>
      </c>
      <c r="AU89" s="103"/>
      <c r="AV89" s="100"/>
      <c r="AW89" s="100"/>
      <c r="AX89" s="100"/>
      <c r="AY89" s="103"/>
      <c r="AZ89" s="100"/>
      <c r="BA89" s="100"/>
      <c r="BB89" s="101"/>
    </row>
    <row r="90">
      <c r="A90" s="211" t="s">
        <v>183</v>
      </c>
      <c r="B90" s="184" t="s">
        <v>184</v>
      </c>
      <c r="C90" s="212" t="s">
        <v>50</v>
      </c>
      <c r="D90" s="213"/>
      <c r="E90" s="214"/>
      <c r="F90" s="215"/>
      <c r="G90" s="215"/>
      <c r="H90" s="215"/>
      <c r="I90" s="215"/>
      <c r="J90" s="215"/>
      <c r="K90" s="215"/>
      <c r="L90" s="216"/>
      <c r="M90" s="217">
        <v>6.0</v>
      </c>
      <c r="N90" s="218"/>
      <c r="O90" s="219"/>
      <c r="P90" s="219"/>
      <c r="Q90" s="219"/>
      <c r="R90" s="220"/>
      <c r="S90" s="221"/>
      <c r="T90" s="218"/>
      <c r="U90" s="219"/>
      <c r="V90" s="219"/>
      <c r="W90" s="219"/>
      <c r="X90" s="218"/>
      <c r="Y90" s="219"/>
      <c r="Z90" s="219"/>
      <c r="AA90" s="222"/>
      <c r="AB90" s="223"/>
      <c r="AC90" s="218"/>
      <c r="AD90" s="219"/>
      <c r="AE90" s="219"/>
      <c r="AF90" s="219"/>
      <c r="AG90" s="218"/>
      <c r="AH90" s="219"/>
      <c r="AI90" s="219"/>
      <c r="AJ90" s="220"/>
      <c r="AK90" s="221"/>
      <c r="AL90" s="218"/>
      <c r="AM90" s="219"/>
      <c r="AN90" s="219"/>
      <c r="AO90" s="219"/>
      <c r="AP90" s="218"/>
      <c r="AQ90" s="219"/>
      <c r="AR90" s="219"/>
      <c r="AS90" s="222"/>
      <c r="AT90" s="223"/>
      <c r="AU90" s="218"/>
      <c r="AV90" s="219"/>
      <c r="AW90" s="219"/>
      <c r="AX90" s="219"/>
      <c r="AY90" s="218"/>
      <c r="AZ90" s="219"/>
      <c r="BA90" s="219"/>
      <c r="BB90" s="220"/>
    </row>
    <row r="91" ht="18.75" customHeight="1">
      <c r="A91" s="203"/>
      <c r="B91" s="184" t="s">
        <v>185</v>
      </c>
      <c r="C91" s="93" t="s">
        <v>50</v>
      </c>
      <c r="D91" s="94" t="str">
        <f>VLOOKUP(B91,'Матрица компетенций'!$A$4:$C$66,3,FALSE)</f>
        <v>УК-1, УК-12, ПКН-2, ПКН-4, ПКП-1, ПКП-2, ПКП-4, ПКП-5, ПКП-6</v>
      </c>
      <c r="E91" s="204"/>
      <c r="F91" s="95" t="s">
        <v>182</v>
      </c>
      <c r="G91" s="95"/>
      <c r="H91" s="95"/>
      <c r="I91" s="95"/>
      <c r="J91" s="95"/>
      <c r="K91" s="95"/>
      <c r="L91" s="97"/>
      <c r="M91" s="106">
        <v>15.0</v>
      </c>
      <c r="N91" s="103"/>
      <c r="O91" s="100"/>
      <c r="P91" s="100"/>
      <c r="Q91" s="100"/>
      <c r="R91" s="101"/>
      <c r="S91" s="102"/>
      <c r="T91" s="103"/>
      <c r="U91" s="100"/>
      <c r="V91" s="100"/>
      <c r="W91" s="100"/>
      <c r="X91" s="103"/>
      <c r="Y91" s="100"/>
      <c r="Z91" s="100"/>
      <c r="AA91" s="105"/>
      <c r="AB91" s="106"/>
      <c r="AC91" s="103"/>
      <c r="AD91" s="100"/>
      <c r="AE91" s="100"/>
      <c r="AF91" s="100"/>
      <c r="AG91" s="103"/>
      <c r="AH91" s="100"/>
      <c r="AI91" s="100"/>
      <c r="AJ91" s="101"/>
      <c r="AK91" s="102"/>
      <c r="AL91" s="103"/>
      <c r="AM91" s="100"/>
      <c r="AN91" s="100"/>
      <c r="AO91" s="100"/>
      <c r="AP91" s="103"/>
      <c r="AQ91" s="100"/>
      <c r="AR91" s="100"/>
      <c r="AS91" s="105"/>
      <c r="AT91" s="106">
        <v>15.0</v>
      </c>
      <c r="AU91" s="103"/>
      <c r="AV91" s="100"/>
      <c r="AW91" s="100"/>
      <c r="AX91" s="100"/>
      <c r="AY91" s="103"/>
      <c r="AZ91" s="100"/>
      <c r="BA91" s="100"/>
      <c r="BB91" s="101"/>
    </row>
    <row r="92">
      <c r="A92" s="211"/>
      <c r="B92" s="224" t="s">
        <v>186</v>
      </c>
      <c r="C92" s="212" t="s">
        <v>50</v>
      </c>
      <c r="D92" s="213"/>
      <c r="E92" s="214"/>
      <c r="F92" s="215"/>
      <c r="G92" s="215"/>
      <c r="H92" s="215"/>
      <c r="I92" s="215"/>
      <c r="J92" s="215"/>
      <c r="K92" s="215"/>
      <c r="L92" s="216"/>
      <c r="M92" s="217">
        <v>12.0</v>
      </c>
      <c r="N92" s="218"/>
      <c r="O92" s="219"/>
      <c r="P92" s="219"/>
      <c r="Q92" s="219"/>
      <c r="R92" s="220"/>
      <c r="S92" s="221"/>
      <c r="T92" s="218"/>
      <c r="U92" s="219"/>
      <c r="V92" s="219"/>
      <c r="W92" s="219"/>
      <c r="X92" s="218"/>
      <c r="Y92" s="219"/>
      <c r="Z92" s="219"/>
      <c r="AA92" s="222"/>
      <c r="AB92" s="223"/>
      <c r="AC92" s="218"/>
      <c r="AD92" s="219"/>
      <c r="AE92" s="219"/>
      <c r="AF92" s="219"/>
      <c r="AG92" s="218"/>
      <c r="AH92" s="219"/>
      <c r="AI92" s="219"/>
      <c r="AJ92" s="220"/>
      <c r="AK92" s="221"/>
      <c r="AL92" s="218"/>
      <c r="AM92" s="219"/>
      <c r="AN92" s="219"/>
      <c r="AO92" s="219"/>
      <c r="AP92" s="218"/>
      <c r="AQ92" s="219"/>
      <c r="AR92" s="219"/>
      <c r="AS92" s="222"/>
      <c r="AT92" s="223"/>
      <c r="AU92" s="218"/>
      <c r="AV92" s="219"/>
      <c r="AW92" s="219"/>
      <c r="AX92" s="219"/>
      <c r="AY92" s="218"/>
      <c r="AZ92" s="219"/>
      <c r="BA92" s="219"/>
      <c r="BB92" s="220"/>
    </row>
    <row r="93">
      <c r="A93" s="211"/>
      <c r="B93" s="224" t="s">
        <v>187</v>
      </c>
      <c r="C93" s="212" t="s">
        <v>50</v>
      </c>
      <c r="D93" s="213"/>
      <c r="E93" s="214"/>
      <c r="F93" s="215"/>
      <c r="G93" s="215"/>
      <c r="H93" s="215"/>
      <c r="I93" s="215"/>
      <c r="J93" s="215"/>
      <c r="K93" s="215"/>
      <c r="L93" s="216"/>
      <c r="M93" s="217">
        <v>3.0</v>
      </c>
      <c r="N93" s="218"/>
      <c r="O93" s="219"/>
      <c r="P93" s="219"/>
      <c r="Q93" s="219"/>
      <c r="R93" s="220"/>
      <c r="S93" s="221"/>
      <c r="T93" s="218"/>
      <c r="U93" s="219"/>
      <c r="V93" s="219"/>
      <c r="W93" s="219"/>
      <c r="X93" s="218"/>
      <c r="Y93" s="219"/>
      <c r="Z93" s="219"/>
      <c r="AA93" s="222"/>
      <c r="AB93" s="223"/>
      <c r="AC93" s="218"/>
      <c r="AD93" s="219"/>
      <c r="AE93" s="219"/>
      <c r="AF93" s="219"/>
      <c r="AG93" s="218"/>
      <c r="AH93" s="219"/>
      <c r="AI93" s="219"/>
      <c r="AJ93" s="220"/>
      <c r="AK93" s="221"/>
      <c r="AL93" s="218"/>
      <c r="AM93" s="219"/>
      <c r="AN93" s="219"/>
      <c r="AO93" s="219"/>
      <c r="AP93" s="218"/>
      <c r="AQ93" s="219"/>
      <c r="AR93" s="219"/>
      <c r="AS93" s="222"/>
      <c r="AT93" s="223"/>
      <c r="AU93" s="218"/>
      <c r="AV93" s="219"/>
      <c r="AW93" s="219"/>
      <c r="AX93" s="219"/>
      <c r="AY93" s="218"/>
      <c r="AZ93" s="219"/>
      <c r="BA93" s="219"/>
      <c r="BB93" s="220"/>
    </row>
    <row r="94">
      <c r="A94" s="203"/>
      <c r="B94" s="184" t="s">
        <v>188</v>
      </c>
      <c r="C94" s="93" t="s">
        <v>50</v>
      </c>
      <c r="D94" s="94" t="str">
        <f>VLOOKUP(B94,'Матрица компетенций'!$A$4:$C$66,3,FALSE)</f>
        <v>ПКН-1, ПКН-3, ПКП-1, ПКП-2, ПКП-3, ПКП-4, ПКП-5, ПКП-6</v>
      </c>
      <c r="E94" s="204"/>
      <c r="F94" s="109" t="s">
        <v>189</v>
      </c>
      <c r="G94" s="95"/>
      <c r="H94" s="95"/>
      <c r="I94" s="95"/>
      <c r="J94" s="95"/>
      <c r="K94" s="95"/>
      <c r="L94" s="97"/>
      <c r="M94" s="106">
        <v>3.0</v>
      </c>
      <c r="N94" s="103"/>
      <c r="O94" s="100"/>
      <c r="P94" s="100"/>
      <c r="Q94" s="100"/>
      <c r="R94" s="101"/>
      <c r="S94" s="102"/>
      <c r="T94" s="103"/>
      <c r="U94" s="100"/>
      <c r="V94" s="100"/>
      <c r="W94" s="100"/>
      <c r="X94" s="103"/>
      <c r="Y94" s="100"/>
      <c r="Z94" s="100"/>
      <c r="AA94" s="105"/>
      <c r="AB94" s="106">
        <v>1.0</v>
      </c>
      <c r="AC94" s="103"/>
      <c r="AD94" s="100"/>
      <c r="AE94" s="100"/>
      <c r="AF94" s="100"/>
      <c r="AG94" s="103"/>
      <c r="AH94" s="100"/>
      <c r="AI94" s="100"/>
      <c r="AJ94" s="101"/>
      <c r="AK94" s="102">
        <v>1.0</v>
      </c>
      <c r="AL94" s="103"/>
      <c r="AM94" s="100"/>
      <c r="AN94" s="100"/>
      <c r="AO94" s="100"/>
      <c r="AP94" s="103"/>
      <c r="AQ94" s="100"/>
      <c r="AR94" s="100"/>
      <c r="AS94" s="105"/>
      <c r="AT94" s="106">
        <v>1.0</v>
      </c>
      <c r="AU94" s="103"/>
      <c r="AV94" s="100"/>
      <c r="AW94" s="100"/>
      <c r="AX94" s="100"/>
      <c r="AY94" s="103"/>
      <c r="AZ94" s="100"/>
      <c r="BA94" s="100"/>
      <c r="BB94" s="101"/>
    </row>
    <row r="95" ht="12.75" customHeight="1">
      <c r="A95" s="225" t="s">
        <v>190</v>
      </c>
      <c r="B95" s="226" t="s">
        <v>191</v>
      </c>
      <c r="C95" s="227"/>
      <c r="D95" s="228"/>
      <c r="E95" s="229"/>
      <c r="F95" s="230"/>
      <c r="G95" s="230"/>
      <c r="H95" s="230"/>
      <c r="I95" s="230"/>
      <c r="J95" s="230"/>
      <c r="K95" s="230"/>
      <c r="L95" s="231"/>
      <c r="M95" s="232">
        <v>9.0</v>
      </c>
      <c r="N95" s="195"/>
      <c r="O95" s="233"/>
      <c r="P95" s="233"/>
      <c r="Q95" s="233"/>
      <c r="R95" s="234"/>
      <c r="S95" s="197"/>
      <c r="T95" s="195"/>
      <c r="U95" s="233"/>
      <c r="V95" s="233"/>
      <c r="W95" s="233"/>
      <c r="X95" s="195"/>
      <c r="Y95" s="233"/>
      <c r="Z95" s="233"/>
      <c r="AA95" s="235"/>
      <c r="AB95" s="194"/>
      <c r="AC95" s="195"/>
      <c r="AD95" s="233"/>
      <c r="AE95" s="233"/>
      <c r="AF95" s="233"/>
      <c r="AG95" s="195"/>
      <c r="AH95" s="233"/>
      <c r="AI95" s="233"/>
      <c r="AJ95" s="234"/>
      <c r="AK95" s="197"/>
      <c r="AL95" s="195"/>
      <c r="AM95" s="233"/>
      <c r="AN95" s="233"/>
      <c r="AO95" s="233"/>
      <c r="AP95" s="195"/>
      <c r="AQ95" s="233"/>
      <c r="AR95" s="233"/>
      <c r="AS95" s="235"/>
      <c r="AT95" s="194">
        <v>9.0</v>
      </c>
      <c r="AU95" s="195"/>
      <c r="AV95" s="233"/>
      <c r="AW95" s="233"/>
      <c r="AX95" s="233"/>
      <c r="AY95" s="195"/>
      <c r="AZ95" s="233"/>
      <c r="BA95" s="233"/>
      <c r="BB95" s="234"/>
    </row>
    <row r="96">
      <c r="A96" s="203" t="s">
        <v>192</v>
      </c>
      <c r="B96" s="184" t="s">
        <v>193</v>
      </c>
      <c r="C96" s="236" t="s">
        <v>50</v>
      </c>
      <c r="D96" s="94"/>
      <c r="E96" s="204"/>
      <c r="F96" s="95"/>
      <c r="G96" s="95"/>
      <c r="H96" s="95"/>
      <c r="I96" s="95"/>
      <c r="J96" s="95"/>
      <c r="K96" s="95"/>
      <c r="L96" s="97"/>
      <c r="M96" s="98">
        <v>3.0</v>
      </c>
      <c r="N96" s="103"/>
      <c r="O96" s="100"/>
      <c r="P96" s="100"/>
      <c r="Q96" s="100"/>
      <c r="R96" s="101"/>
      <c r="S96" s="237"/>
      <c r="T96" s="103"/>
      <c r="U96" s="100"/>
      <c r="V96" s="100"/>
      <c r="W96" s="100"/>
      <c r="X96" s="103"/>
      <c r="Y96" s="100"/>
      <c r="Z96" s="100"/>
      <c r="AA96" s="105"/>
      <c r="AB96" s="98"/>
      <c r="AC96" s="103"/>
      <c r="AD96" s="100"/>
      <c r="AE96" s="100"/>
      <c r="AF96" s="100"/>
      <c r="AG96" s="103"/>
      <c r="AH96" s="100"/>
      <c r="AI96" s="100"/>
      <c r="AJ96" s="101"/>
      <c r="AK96" s="237"/>
      <c r="AL96" s="103"/>
      <c r="AM96" s="100"/>
      <c r="AN96" s="100"/>
      <c r="AO96" s="100"/>
      <c r="AP96" s="103"/>
      <c r="AQ96" s="100"/>
      <c r="AR96" s="100"/>
      <c r="AS96" s="105"/>
      <c r="AT96" s="98">
        <v>3.0</v>
      </c>
      <c r="AU96" s="103"/>
      <c r="AV96" s="100"/>
      <c r="AW96" s="100"/>
      <c r="AX96" s="100"/>
      <c r="AY96" s="103"/>
      <c r="AZ96" s="100"/>
      <c r="BA96" s="100"/>
      <c r="BB96" s="101"/>
    </row>
    <row r="97">
      <c r="A97" s="203" t="s">
        <v>194</v>
      </c>
      <c r="B97" s="184" t="s">
        <v>195</v>
      </c>
      <c r="C97" s="236" t="s">
        <v>50</v>
      </c>
      <c r="D97" s="94"/>
      <c r="E97" s="204"/>
      <c r="F97" s="95"/>
      <c r="G97" s="95"/>
      <c r="H97" s="95"/>
      <c r="I97" s="95"/>
      <c r="J97" s="95"/>
      <c r="K97" s="95"/>
      <c r="L97" s="97"/>
      <c r="M97" s="98">
        <v>6.0</v>
      </c>
      <c r="N97" s="103"/>
      <c r="O97" s="100"/>
      <c r="P97" s="100"/>
      <c r="Q97" s="100"/>
      <c r="R97" s="101"/>
      <c r="S97" s="237"/>
      <c r="T97" s="103"/>
      <c r="U97" s="100"/>
      <c r="V97" s="100"/>
      <c r="W97" s="100"/>
      <c r="X97" s="103"/>
      <c r="Y97" s="100"/>
      <c r="Z97" s="100"/>
      <c r="AA97" s="105"/>
      <c r="AB97" s="98"/>
      <c r="AC97" s="103"/>
      <c r="AD97" s="100"/>
      <c r="AE97" s="100"/>
      <c r="AF97" s="100"/>
      <c r="AG97" s="103"/>
      <c r="AH97" s="100"/>
      <c r="AI97" s="100"/>
      <c r="AJ97" s="101"/>
      <c r="AK97" s="237"/>
      <c r="AL97" s="103"/>
      <c r="AM97" s="100"/>
      <c r="AN97" s="100"/>
      <c r="AO97" s="100"/>
      <c r="AP97" s="103"/>
      <c r="AQ97" s="100"/>
      <c r="AR97" s="100"/>
      <c r="AS97" s="105"/>
      <c r="AT97" s="98">
        <v>6.0</v>
      </c>
      <c r="AU97" s="103"/>
      <c r="AV97" s="100"/>
      <c r="AW97" s="100"/>
      <c r="AX97" s="100"/>
      <c r="AY97" s="103"/>
      <c r="AZ97" s="100"/>
      <c r="BA97" s="100"/>
      <c r="BB97" s="101"/>
    </row>
    <row r="98" ht="12.75" customHeight="1">
      <c r="A98" s="238"/>
      <c r="B98" s="239" t="s">
        <v>196</v>
      </c>
      <c r="C98" s="240"/>
      <c r="D98" s="241"/>
      <c r="E98" s="242"/>
      <c r="F98" s="243"/>
      <c r="G98" s="243"/>
      <c r="H98" s="243"/>
      <c r="I98" s="243"/>
      <c r="J98" s="243"/>
      <c r="K98" s="243"/>
      <c r="L98" s="243"/>
      <c r="M98" s="244">
        <f t="shared" ref="M98:BB98" si="110">M14+M88+M95</f>
        <v>240</v>
      </c>
      <c r="N98" s="245">
        <f t="shared" si="110"/>
        <v>6732</v>
      </c>
      <c r="O98" s="245">
        <f t="shared" si="110"/>
        <v>2636</v>
      </c>
      <c r="P98" s="245">
        <f t="shared" si="110"/>
        <v>728</v>
      </c>
      <c r="Q98" s="245">
        <f t="shared" si="110"/>
        <v>1908</v>
      </c>
      <c r="R98" s="246">
        <f t="shared" si="110"/>
        <v>4096</v>
      </c>
      <c r="S98" s="247">
        <f t="shared" si="110"/>
        <v>61</v>
      </c>
      <c r="T98" s="245">
        <f t="shared" si="110"/>
        <v>32</v>
      </c>
      <c r="U98" s="245">
        <f t="shared" si="110"/>
        <v>148</v>
      </c>
      <c r="V98" s="245">
        <f t="shared" si="110"/>
        <v>386</v>
      </c>
      <c r="W98" s="245">
        <f t="shared" si="110"/>
        <v>742</v>
      </c>
      <c r="X98" s="245">
        <f t="shared" si="110"/>
        <v>20</v>
      </c>
      <c r="Y98" s="245">
        <f t="shared" si="110"/>
        <v>98</v>
      </c>
      <c r="Z98" s="245">
        <f t="shared" si="110"/>
        <v>238</v>
      </c>
      <c r="AA98" s="245">
        <f t="shared" si="110"/>
        <v>548</v>
      </c>
      <c r="AB98" s="248">
        <f t="shared" si="110"/>
        <v>49</v>
      </c>
      <c r="AC98" s="245">
        <f t="shared" si="110"/>
        <v>19</v>
      </c>
      <c r="AD98" s="245">
        <f t="shared" si="110"/>
        <v>80</v>
      </c>
      <c r="AE98" s="245">
        <f t="shared" si="110"/>
        <v>238</v>
      </c>
      <c r="AF98" s="245">
        <f t="shared" si="110"/>
        <v>582</v>
      </c>
      <c r="AG98" s="245">
        <f t="shared" si="110"/>
        <v>21</v>
      </c>
      <c r="AH98" s="245">
        <f t="shared" si="110"/>
        <v>80</v>
      </c>
      <c r="AI98" s="245">
        <f t="shared" si="110"/>
        <v>272</v>
      </c>
      <c r="AJ98" s="246">
        <f t="shared" si="110"/>
        <v>476</v>
      </c>
      <c r="AK98" s="247">
        <f t="shared" si="110"/>
        <v>48</v>
      </c>
      <c r="AL98" s="245">
        <f t="shared" si="110"/>
        <v>17</v>
      </c>
      <c r="AM98" s="245">
        <f t="shared" si="110"/>
        <v>82</v>
      </c>
      <c r="AN98" s="245">
        <f t="shared" si="110"/>
        <v>206</v>
      </c>
      <c r="AO98" s="245">
        <f t="shared" si="110"/>
        <v>396</v>
      </c>
      <c r="AP98" s="245">
        <f t="shared" si="110"/>
        <v>24</v>
      </c>
      <c r="AQ98" s="245">
        <f t="shared" si="110"/>
        <v>128</v>
      </c>
      <c r="AR98" s="245">
        <f t="shared" si="110"/>
        <v>276</v>
      </c>
      <c r="AS98" s="245">
        <f t="shared" si="110"/>
        <v>712</v>
      </c>
      <c r="AT98" s="248">
        <f t="shared" si="110"/>
        <v>60</v>
      </c>
      <c r="AU98" s="245">
        <f t="shared" si="110"/>
        <v>24</v>
      </c>
      <c r="AV98" s="245">
        <f t="shared" si="110"/>
        <v>112</v>
      </c>
      <c r="AW98" s="245">
        <f t="shared" si="110"/>
        <v>292</v>
      </c>
      <c r="AX98" s="245">
        <f t="shared" si="110"/>
        <v>640</v>
      </c>
      <c r="AY98" s="245">
        <f t="shared" si="110"/>
        <v>0</v>
      </c>
      <c r="AZ98" s="245">
        <f t="shared" si="110"/>
        <v>0</v>
      </c>
      <c r="BA98" s="245">
        <f t="shared" si="110"/>
        <v>0</v>
      </c>
      <c r="BB98" s="246">
        <f t="shared" si="110"/>
        <v>0</v>
      </c>
    </row>
    <row r="99">
      <c r="A99" s="78" t="s">
        <v>197</v>
      </c>
      <c r="B99" s="79" t="s">
        <v>198</v>
      </c>
      <c r="C99" s="249" t="s">
        <v>199</v>
      </c>
      <c r="D99" s="250" t="s">
        <v>200</v>
      </c>
      <c r="E99" s="251"/>
      <c r="F99" s="252"/>
      <c r="G99" s="252"/>
      <c r="H99" s="252"/>
      <c r="I99" s="252"/>
      <c r="J99" s="252"/>
      <c r="K99" s="252"/>
      <c r="L99" s="253"/>
      <c r="M99" s="254"/>
      <c r="N99" s="255">
        <v>328.0</v>
      </c>
      <c r="O99" s="255">
        <v>306.0</v>
      </c>
      <c r="P99" s="256"/>
      <c r="Q99" s="255">
        <v>306.0</v>
      </c>
      <c r="R99" s="257">
        <v>22.0</v>
      </c>
      <c r="S99" s="258"/>
      <c r="T99" s="256"/>
      <c r="U99" s="256"/>
      <c r="V99" s="256"/>
      <c r="W99" s="256"/>
      <c r="X99" s="255">
        <v>4.0</v>
      </c>
      <c r="Y99" s="256"/>
      <c r="Z99" s="255">
        <v>68.0</v>
      </c>
      <c r="AA99" s="259"/>
      <c r="AB99" s="260"/>
      <c r="AC99" s="255">
        <v>4.0</v>
      </c>
      <c r="AD99" s="256"/>
      <c r="AE99" s="255">
        <v>68.0</v>
      </c>
      <c r="AF99" s="256"/>
      <c r="AG99" s="255">
        <v>4.0</v>
      </c>
      <c r="AH99" s="256"/>
      <c r="AI99" s="255">
        <v>68.0</v>
      </c>
      <c r="AJ99" s="261"/>
      <c r="AK99" s="258"/>
      <c r="AL99" s="255">
        <v>4.0</v>
      </c>
      <c r="AM99" s="256"/>
      <c r="AN99" s="255">
        <v>68.0</v>
      </c>
      <c r="AO99" s="256"/>
      <c r="AP99" s="255">
        <v>2.0</v>
      </c>
      <c r="AQ99" s="256"/>
      <c r="AR99" s="255">
        <v>34.0</v>
      </c>
      <c r="AS99" s="262">
        <v>22.0</v>
      </c>
      <c r="AT99" s="260"/>
      <c r="AU99" s="256"/>
      <c r="AV99" s="256"/>
      <c r="AW99" s="256"/>
      <c r="AX99" s="256"/>
      <c r="AY99" s="256"/>
      <c r="AZ99" s="256"/>
      <c r="BA99" s="256"/>
      <c r="BB99" s="261"/>
    </row>
    <row r="100" ht="12.75" customHeight="1">
      <c r="A100" s="263" t="s">
        <v>201</v>
      </c>
      <c r="B100" s="264" t="s">
        <v>202</v>
      </c>
      <c r="C100" s="265"/>
      <c r="D100" s="266"/>
      <c r="E100" s="267"/>
      <c r="F100" s="268"/>
      <c r="G100" s="268"/>
      <c r="H100" s="268"/>
      <c r="I100" s="268"/>
      <c r="J100" s="268"/>
      <c r="K100" s="268"/>
      <c r="L100" s="269"/>
      <c r="M100" s="270"/>
      <c r="N100" s="271"/>
      <c r="O100" s="271"/>
      <c r="P100" s="271"/>
      <c r="Q100" s="271"/>
      <c r="R100" s="272"/>
      <c r="S100" s="273"/>
      <c r="T100" s="271"/>
      <c r="U100" s="271"/>
      <c r="V100" s="271"/>
      <c r="W100" s="271"/>
      <c r="X100" s="271"/>
      <c r="Y100" s="271"/>
      <c r="Z100" s="271"/>
      <c r="AA100" s="274"/>
      <c r="AB100" s="275"/>
      <c r="AC100" s="271"/>
      <c r="AD100" s="271"/>
      <c r="AE100" s="271"/>
      <c r="AF100" s="271"/>
      <c r="AG100" s="271"/>
      <c r="AH100" s="271"/>
      <c r="AI100" s="271"/>
      <c r="AJ100" s="272"/>
      <c r="AK100" s="273"/>
      <c r="AL100" s="271"/>
      <c r="AM100" s="271"/>
      <c r="AN100" s="271"/>
      <c r="AO100" s="271"/>
      <c r="AP100" s="271"/>
      <c r="AQ100" s="271"/>
      <c r="AR100" s="271"/>
      <c r="AS100" s="274"/>
      <c r="AT100" s="275"/>
      <c r="AU100" s="271"/>
      <c r="AV100" s="271"/>
      <c r="AW100" s="271"/>
      <c r="AX100" s="271"/>
      <c r="AY100" s="271"/>
      <c r="AZ100" s="271"/>
      <c r="BA100" s="271"/>
      <c r="BB100" s="272"/>
    </row>
    <row r="101" ht="12.75" customHeight="1">
      <c r="A101" s="276"/>
      <c r="B101" s="276"/>
      <c r="C101" s="276"/>
      <c r="D101" s="276"/>
      <c r="E101" s="277"/>
      <c r="F101" s="277"/>
      <c r="G101" s="277"/>
      <c r="H101" s="277"/>
      <c r="I101" s="277"/>
      <c r="J101" s="277"/>
      <c r="K101" s="277"/>
      <c r="L101" s="277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  <c r="AE101" s="276"/>
      <c r="AF101" s="276"/>
      <c r="AG101" s="276"/>
      <c r="AH101" s="276"/>
      <c r="AI101" s="276"/>
      <c r="AJ101" s="276"/>
      <c r="AK101" s="276"/>
      <c r="AL101" s="276"/>
      <c r="AM101" s="276"/>
      <c r="AN101" s="276"/>
      <c r="AO101" s="276"/>
      <c r="AP101" s="276"/>
      <c r="AQ101" s="276"/>
      <c r="AR101" s="276"/>
      <c r="AS101" s="276"/>
      <c r="AT101" s="276"/>
      <c r="AU101" s="276"/>
      <c r="AV101" s="276"/>
      <c r="AW101" s="276"/>
      <c r="AX101" s="276"/>
      <c r="AY101" s="276"/>
      <c r="AZ101" s="276"/>
      <c r="BA101" s="276"/>
      <c r="BB101" s="276"/>
    </row>
    <row r="102" ht="12.75" customHeight="1">
      <c r="A102" s="1" t="s">
        <v>203</v>
      </c>
      <c r="E102" s="2"/>
      <c r="F102" s="2"/>
      <c r="G102" s="2"/>
      <c r="H102" s="2"/>
      <c r="I102" s="2"/>
      <c r="J102" s="2"/>
      <c r="K102" s="2"/>
      <c r="L102" s="2"/>
      <c r="M102" s="3"/>
    </row>
    <row r="103" ht="12.75" customHeight="1">
      <c r="A103" s="1" t="s">
        <v>204</v>
      </c>
      <c r="B103" s="3" t="s">
        <v>205</v>
      </c>
      <c r="E103" s="2"/>
      <c r="F103" s="2"/>
      <c r="G103" s="2"/>
      <c r="H103" s="2"/>
      <c r="I103" s="2"/>
      <c r="J103" s="2"/>
      <c r="K103" s="2"/>
      <c r="L103" s="2"/>
      <c r="M103" s="3"/>
    </row>
    <row r="104" ht="12.75" customHeight="1">
      <c r="A104" s="1" t="s">
        <v>206</v>
      </c>
      <c r="E104" s="2"/>
      <c r="F104" s="2"/>
      <c r="G104" s="2"/>
      <c r="H104" s="2"/>
      <c r="I104" s="2"/>
      <c r="J104" s="2"/>
      <c r="K104" s="2"/>
      <c r="L104" s="2"/>
      <c r="M104" s="3"/>
    </row>
    <row r="105" ht="12.75" customHeight="1">
      <c r="A105" s="1"/>
      <c r="E105" s="2"/>
      <c r="F105" s="2"/>
      <c r="G105" s="2"/>
      <c r="H105" s="2"/>
      <c r="I105" s="2"/>
      <c r="J105" s="2"/>
      <c r="K105" s="2"/>
      <c r="L105" s="2"/>
      <c r="M105" s="3"/>
    </row>
    <row r="106" ht="12.75" customHeight="1">
      <c r="A106" s="278"/>
      <c r="D106" s="279"/>
      <c r="H106" s="280"/>
      <c r="K106" s="280"/>
      <c r="N106" s="281"/>
    </row>
    <row r="107" ht="12.75" customHeight="1">
      <c r="A107" s="282"/>
      <c r="D107" s="283"/>
      <c r="H107" s="284"/>
      <c r="K107" s="285"/>
      <c r="N107" s="282"/>
    </row>
    <row r="108" ht="12.75" customHeight="1">
      <c r="A108" s="1"/>
      <c r="E108" s="2"/>
      <c r="F108" s="2"/>
      <c r="G108" s="2"/>
      <c r="H108" s="2"/>
      <c r="I108" s="2"/>
      <c r="J108" s="2"/>
      <c r="K108" s="2"/>
      <c r="L108" s="2"/>
      <c r="M108" s="3"/>
    </row>
    <row r="109" ht="12.75" customHeight="1">
      <c r="A109" s="1" t="s">
        <v>207</v>
      </c>
      <c r="E109" s="2"/>
      <c r="F109" s="2"/>
      <c r="G109" s="2"/>
      <c r="H109" s="2"/>
      <c r="I109" s="2"/>
      <c r="J109" s="2"/>
      <c r="K109" s="2"/>
      <c r="L109" s="2"/>
      <c r="M109" s="3"/>
    </row>
    <row r="110" ht="12.75" customHeight="1">
      <c r="A110" s="1" t="s">
        <v>208</v>
      </c>
      <c r="E110" s="2"/>
      <c r="F110" s="2"/>
      <c r="G110" s="2"/>
      <c r="H110" s="2"/>
      <c r="I110" s="2"/>
      <c r="J110" s="2"/>
      <c r="K110" s="2"/>
      <c r="L110" s="2"/>
      <c r="M110" s="3"/>
    </row>
    <row r="111" ht="12.75" customHeight="1">
      <c r="A111" s="1" t="s">
        <v>209</v>
      </c>
      <c r="E111" s="2"/>
      <c r="F111" s="2"/>
      <c r="G111" s="2"/>
      <c r="H111" s="2"/>
      <c r="I111" s="2"/>
      <c r="J111" s="2"/>
      <c r="K111" s="2"/>
      <c r="L111" s="2"/>
      <c r="M111" s="3"/>
    </row>
    <row r="112" ht="12.75" customHeight="1">
      <c r="A112" s="1" t="s">
        <v>210</v>
      </c>
      <c r="E112" s="2"/>
      <c r="F112" s="2"/>
      <c r="G112" s="2"/>
      <c r="H112" s="2"/>
      <c r="I112" s="2"/>
      <c r="J112" s="2"/>
      <c r="K112" s="2"/>
      <c r="L112" s="2"/>
      <c r="M112" s="3"/>
    </row>
    <row r="113" ht="12.75" customHeight="1">
      <c r="A113" s="1" t="s">
        <v>211</v>
      </c>
      <c r="E113" s="2"/>
      <c r="F113" s="2"/>
      <c r="G113" s="2"/>
      <c r="H113" s="2"/>
      <c r="I113" s="2"/>
      <c r="J113" s="2"/>
      <c r="K113" s="2"/>
      <c r="L113" s="2"/>
      <c r="M113" s="3"/>
    </row>
    <row r="114" ht="12.75" customHeight="1">
      <c r="E114" s="2"/>
      <c r="F114" s="2"/>
      <c r="G114" s="2"/>
      <c r="H114" s="2"/>
      <c r="I114" s="2"/>
      <c r="J114" s="2"/>
      <c r="K114" s="2"/>
      <c r="L114" s="2"/>
      <c r="M114" s="3"/>
    </row>
    <row r="115" ht="12.75" customHeight="1">
      <c r="E115" s="2"/>
      <c r="F115" s="2"/>
      <c r="G115" s="2"/>
      <c r="H115" s="2"/>
      <c r="I115" s="2"/>
      <c r="J115" s="2"/>
      <c r="K115" s="2"/>
      <c r="L115" s="2"/>
      <c r="M115" s="3"/>
    </row>
    <row r="116" ht="12.75" customHeight="1">
      <c r="E116" s="2"/>
      <c r="F116" s="2"/>
      <c r="G116" s="2"/>
      <c r="H116" s="2"/>
      <c r="I116" s="2"/>
      <c r="J116" s="2"/>
      <c r="K116" s="2"/>
      <c r="L116" s="2"/>
      <c r="M116" s="3"/>
    </row>
    <row r="117" ht="12.75" customHeight="1">
      <c r="E117" s="2"/>
      <c r="F117" s="2"/>
      <c r="G117" s="2"/>
      <c r="H117" s="2"/>
      <c r="I117" s="2"/>
      <c r="J117" s="2"/>
      <c r="K117" s="2"/>
      <c r="L117" s="2"/>
      <c r="M117" s="3"/>
    </row>
    <row r="118" ht="12.75" customHeight="1">
      <c r="E118" s="2"/>
      <c r="F118" s="2"/>
      <c r="G118" s="2"/>
      <c r="H118" s="2"/>
      <c r="I118" s="2"/>
      <c r="J118" s="2"/>
      <c r="K118" s="2"/>
      <c r="L118" s="2"/>
      <c r="M118" s="3"/>
    </row>
    <row r="119" ht="12.75" customHeight="1">
      <c r="E119" s="2"/>
      <c r="F119" s="2"/>
      <c r="G119" s="2"/>
      <c r="H119" s="2"/>
      <c r="I119" s="2"/>
      <c r="J119" s="2"/>
      <c r="K119" s="2"/>
      <c r="L119" s="2"/>
      <c r="M119" s="3"/>
    </row>
    <row r="120" ht="12.75" customHeight="1">
      <c r="E120" s="2"/>
      <c r="F120" s="2"/>
      <c r="G120" s="2"/>
      <c r="H120" s="2"/>
      <c r="I120" s="2"/>
      <c r="J120" s="2"/>
      <c r="K120" s="2"/>
      <c r="L120" s="2"/>
      <c r="M120" s="3"/>
    </row>
    <row r="121" ht="12.75" customHeight="1">
      <c r="E121" s="2"/>
      <c r="F121" s="2"/>
      <c r="G121" s="2"/>
      <c r="H121" s="2"/>
      <c r="I121" s="2"/>
      <c r="J121" s="2"/>
      <c r="K121" s="2"/>
      <c r="L121" s="2"/>
      <c r="M121" s="3"/>
    </row>
    <row r="122" ht="12.75" customHeight="1">
      <c r="E122" s="2"/>
      <c r="F122" s="2"/>
      <c r="G122" s="2"/>
      <c r="H122" s="2"/>
      <c r="I122" s="2"/>
      <c r="J122" s="2"/>
      <c r="K122" s="2"/>
      <c r="L122" s="2"/>
      <c r="M122" s="3"/>
    </row>
    <row r="123" ht="12.75" customHeight="1">
      <c r="E123" s="2"/>
      <c r="F123" s="2"/>
      <c r="G123" s="2"/>
      <c r="H123" s="2"/>
      <c r="I123" s="2"/>
      <c r="J123" s="2"/>
      <c r="K123" s="2"/>
      <c r="L123" s="2"/>
      <c r="M123" s="3"/>
    </row>
    <row r="124" ht="12.75" customHeight="1">
      <c r="E124" s="2"/>
      <c r="F124" s="2"/>
      <c r="G124" s="2"/>
      <c r="H124" s="2"/>
      <c r="I124" s="2"/>
      <c r="J124" s="2"/>
      <c r="K124" s="2"/>
      <c r="L124" s="2"/>
      <c r="M124" s="3"/>
    </row>
    <row r="125" ht="12.75" customHeight="1">
      <c r="E125" s="2"/>
      <c r="F125" s="2"/>
      <c r="G125" s="2"/>
      <c r="H125" s="2"/>
      <c r="I125" s="2"/>
      <c r="J125" s="2"/>
      <c r="K125" s="2"/>
      <c r="L125" s="2"/>
      <c r="M125" s="3"/>
    </row>
    <row r="126" ht="12.75" customHeight="1">
      <c r="E126" s="2"/>
      <c r="F126" s="2"/>
      <c r="G126" s="2"/>
      <c r="H126" s="2"/>
      <c r="I126" s="2"/>
      <c r="J126" s="2"/>
      <c r="K126" s="2"/>
      <c r="L126" s="2"/>
      <c r="M126" s="3"/>
    </row>
    <row r="127" ht="12.75" customHeight="1">
      <c r="E127" s="2"/>
      <c r="F127" s="2"/>
      <c r="G127" s="2"/>
      <c r="H127" s="2"/>
      <c r="I127" s="2"/>
      <c r="J127" s="2"/>
      <c r="K127" s="2"/>
      <c r="L127" s="2"/>
      <c r="M127" s="3"/>
    </row>
    <row r="128" ht="12.75" customHeight="1">
      <c r="E128" s="2"/>
      <c r="F128" s="2"/>
      <c r="G128" s="2"/>
      <c r="H128" s="2"/>
      <c r="I128" s="2"/>
      <c r="J128" s="2"/>
      <c r="K128" s="2"/>
      <c r="L128" s="2"/>
      <c r="M128" s="3"/>
    </row>
    <row r="129" ht="12.75" customHeight="1">
      <c r="E129" s="2"/>
      <c r="F129" s="2"/>
      <c r="G129" s="2"/>
      <c r="H129" s="2"/>
      <c r="I129" s="2"/>
      <c r="J129" s="2"/>
      <c r="K129" s="2"/>
      <c r="L129" s="2"/>
      <c r="M129" s="3"/>
    </row>
    <row r="130" ht="12.75" customHeight="1">
      <c r="E130" s="2"/>
      <c r="F130" s="2"/>
      <c r="G130" s="2"/>
      <c r="H130" s="2"/>
      <c r="I130" s="2"/>
      <c r="J130" s="2"/>
      <c r="K130" s="2"/>
      <c r="L130" s="2"/>
      <c r="M130" s="3"/>
    </row>
    <row r="131" ht="12.75" customHeight="1">
      <c r="E131" s="2"/>
      <c r="F131" s="2"/>
      <c r="G131" s="2"/>
      <c r="H131" s="2"/>
      <c r="I131" s="2"/>
      <c r="J131" s="2"/>
      <c r="K131" s="2"/>
      <c r="L131" s="2"/>
      <c r="M131" s="3"/>
    </row>
    <row r="132" ht="12.75" customHeight="1">
      <c r="E132" s="2"/>
      <c r="F132" s="2"/>
      <c r="G132" s="2"/>
      <c r="H132" s="2"/>
      <c r="I132" s="2"/>
      <c r="J132" s="2"/>
      <c r="K132" s="2"/>
      <c r="L132" s="2"/>
      <c r="M132" s="3"/>
    </row>
    <row r="133" ht="12.75" customHeight="1">
      <c r="E133" s="2"/>
      <c r="F133" s="2"/>
      <c r="G133" s="2"/>
      <c r="H133" s="2"/>
      <c r="I133" s="2"/>
      <c r="J133" s="2"/>
      <c r="K133" s="2"/>
      <c r="L133" s="2"/>
      <c r="M133" s="3"/>
    </row>
    <row r="134" ht="12.75" customHeight="1">
      <c r="E134" s="2"/>
      <c r="F134" s="2"/>
      <c r="G134" s="2"/>
      <c r="H134" s="2"/>
      <c r="I134" s="2"/>
      <c r="J134" s="2"/>
      <c r="K134" s="2"/>
      <c r="L134" s="2"/>
      <c r="M134" s="3"/>
    </row>
    <row r="135" ht="12.75" customHeight="1">
      <c r="E135" s="2"/>
      <c r="F135" s="2"/>
      <c r="G135" s="2"/>
      <c r="H135" s="2"/>
      <c r="I135" s="2"/>
      <c r="J135" s="2"/>
      <c r="K135" s="2"/>
      <c r="L135" s="2"/>
      <c r="M135" s="3"/>
    </row>
    <row r="136" ht="12.75" customHeight="1">
      <c r="E136" s="2"/>
      <c r="F136" s="2"/>
      <c r="G136" s="2"/>
      <c r="H136" s="2"/>
      <c r="I136" s="2"/>
      <c r="J136" s="2"/>
      <c r="K136" s="2"/>
      <c r="L136" s="2"/>
      <c r="M136" s="3"/>
    </row>
    <row r="137" ht="12.75" customHeight="1">
      <c r="E137" s="2"/>
      <c r="F137" s="2"/>
      <c r="G137" s="2"/>
      <c r="H137" s="2"/>
      <c r="I137" s="2"/>
      <c r="J137" s="2"/>
      <c r="K137" s="2"/>
      <c r="L137" s="2"/>
      <c r="M137" s="3"/>
    </row>
    <row r="138" ht="12.75" customHeight="1">
      <c r="E138" s="2"/>
      <c r="F138" s="2"/>
      <c r="G138" s="2"/>
      <c r="H138" s="2"/>
      <c r="I138" s="2"/>
      <c r="J138" s="2"/>
      <c r="K138" s="2"/>
      <c r="L138" s="2"/>
      <c r="M138" s="3"/>
    </row>
    <row r="139" ht="12.75" customHeight="1">
      <c r="E139" s="2"/>
      <c r="F139" s="2"/>
      <c r="G139" s="2"/>
      <c r="H139" s="2"/>
      <c r="I139" s="2"/>
      <c r="J139" s="2"/>
      <c r="K139" s="2"/>
      <c r="L139" s="2"/>
      <c r="M139" s="3"/>
    </row>
    <row r="140" ht="12.75" customHeight="1">
      <c r="E140" s="2"/>
      <c r="F140" s="2"/>
      <c r="G140" s="2"/>
      <c r="H140" s="2"/>
      <c r="I140" s="2"/>
      <c r="J140" s="2"/>
      <c r="K140" s="2"/>
      <c r="L140" s="2"/>
      <c r="M140" s="3"/>
    </row>
    <row r="141" ht="12.75" customHeight="1">
      <c r="E141" s="2"/>
      <c r="F141" s="2"/>
      <c r="G141" s="2"/>
      <c r="H141" s="2"/>
      <c r="I141" s="2"/>
      <c r="J141" s="2"/>
      <c r="K141" s="2"/>
      <c r="L141" s="2"/>
      <c r="M141" s="3"/>
    </row>
    <row r="142" ht="12.75" customHeight="1">
      <c r="E142" s="2"/>
      <c r="F142" s="2"/>
      <c r="G142" s="2"/>
      <c r="H142" s="2"/>
      <c r="I142" s="2"/>
      <c r="J142" s="2"/>
      <c r="K142" s="2"/>
      <c r="L142" s="2"/>
      <c r="M142" s="3"/>
    </row>
    <row r="143" ht="12.75" customHeight="1">
      <c r="E143" s="2"/>
      <c r="F143" s="2"/>
      <c r="G143" s="2"/>
      <c r="H143" s="2"/>
      <c r="I143" s="2"/>
      <c r="J143" s="2"/>
      <c r="K143" s="2"/>
      <c r="L143" s="2"/>
      <c r="M143" s="3"/>
    </row>
    <row r="144" ht="12.75" customHeight="1">
      <c r="E144" s="2"/>
      <c r="F144" s="2"/>
      <c r="G144" s="2"/>
      <c r="H144" s="2"/>
      <c r="I144" s="2"/>
      <c r="J144" s="2"/>
      <c r="K144" s="2"/>
      <c r="L144" s="2"/>
      <c r="M144" s="3"/>
    </row>
    <row r="145" ht="12.75" customHeight="1">
      <c r="E145" s="2"/>
      <c r="F145" s="2"/>
      <c r="G145" s="2"/>
      <c r="H145" s="2"/>
      <c r="I145" s="2"/>
      <c r="J145" s="2"/>
      <c r="K145" s="2"/>
      <c r="L145" s="2"/>
      <c r="M145" s="3"/>
    </row>
    <row r="146" ht="12.75" customHeight="1">
      <c r="E146" s="2"/>
      <c r="F146" s="2"/>
      <c r="G146" s="2"/>
      <c r="H146" s="2"/>
      <c r="I146" s="2"/>
      <c r="J146" s="2"/>
      <c r="K146" s="2"/>
      <c r="L146" s="2"/>
      <c r="M146" s="3"/>
    </row>
    <row r="147" ht="12.75" customHeight="1">
      <c r="E147" s="2"/>
      <c r="F147" s="2"/>
      <c r="G147" s="2"/>
      <c r="H147" s="2"/>
      <c r="I147" s="2"/>
      <c r="J147" s="2"/>
      <c r="K147" s="2"/>
      <c r="L147" s="2"/>
      <c r="M147" s="3"/>
    </row>
    <row r="148" ht="12.75" customHeight="1">
      <c r="E148" s="2"/>
      <c r="F148" s="2"/>
      <c r="G148" s="2"/>
      <c r="H148" s="2"/>
      <c r="I148" s="2"/>
      <c r="J148" s="2"/>
      <c r="K148" s="2"/>
      <c r="L148" s="2"/>
      <c r="M148" s="3"/>
    </row>
    <row r="149" ht="12.75" customHeight="1">
      <c r="E149" s="2"/>
      <c r="F149" s="2"/>
      <c r="G149" s="2"/>
      <c r="H149" s="2"/>
      <c r="I149" s="2"/>
      <c r="J149" s="2"/>
      <c r="K149" s="2"/>
      <c r="L149" s="2"/>
      <c r="M149" s="3"/>
    </row>
    <row r="150" ht="12.75" customHeight="1">
      <c r="E150" s="2"/>
      <c r="F150" s="2"/>
      <c r="G150" s="2"/>
      <c r="H150" s="2"/>
      <c r="I150" s="2"/>
      <c r="J150" s="2"/>
      <c r="K150" s="2"/>
      <c r="L150" s="2"/>
      <c r="M150" s="3"/>
    </row>
    <row r="151" ht="12.75" customHeight="1">
      <c r="E151" s="2"/>
      <c r="F151" s="2"/>
      <c r="G151" s="2"/>
      <c r="H151" s="2"/>
      <c r="I151" s="2"/>
      <c r="J151" s="2"/>
      <c r="K151" s="2"/>
      <c r="L151" s="2"/>
      <c r="M151" s="3"/>
    </row>
    <row r="152" ht="12.75" customHeight="1">
      <c r="E152" s="2"/>
      <c r="F152" s="2"/>
      <c r="G152" s="2"/>
      <c r="H152" s="2"/>
      <c r="I152" s="2"/>
      <c r="J152" s="2"/>
      <c r="K152" s="2"/>
      <c r="L152" s="2"/>
      <c r="M152" s="3"/>
    </row>
    <row r="153" ht="12.75" customHeight="1">
      <c r="E153" s="2"/>
      <c r="F153" s="2"/>
      <c r="G153" s="2"/>
      <c r="H153" s="2"/>
      <c r="I153" s="2"/>
      <c r="J153" s="2"/>
      <c r="K153" s="2"/>
      <c r="L153" s="2"/>
      <c r="M153" s="3"/>
    </row>
    <row r="154" ht="12.75" customHeight="1">
      <c r="E154" s="2"/>
      <c r="F154" s="2"/>
      <c r="G154" s="2"/>
      <c r="H154" s="2"/>
      <c r="I154" s="2"/>
      <c r="J154" s="2"/>
      <c r="K154" s="2"/>
      <c r="L154" s="2"/>
      <c r="M154" s="3"/>
    </row>
    <row r="155" ht="12.75" customHeight="1">
      <c r="E155" s="2"/>
      <c r="F155" s="2"/>
      <c r="G155" s="2"/>
      <c r="H155" s="2"/>
      <c r="I155" s="2"/>
      <c r="J155" s="2"/>
      <c r="K155" s="2"/>
      <c r="L155" s="2"/>
      <c r="M155" s="3"/>
    </row>
    <row r="156" ht="12.75" customHeight="1">
      <c r="E156" s="2"/>
      <c r="F156" s="2"/>
      <c r="G156" s="2"/>
      <c r="H156" s="2"/>
      <c r="I156" s="2"/>
      <c r="J156" s="2"/>
      <c r="K156" s="2"/>
      <c r="L156" s="2"/>
      <c r="M156" s="3"/>
    </row>
    <row r="157" ht="12.75" customHeight="1">
      <c r="E157" s="2"/>
      <c r="F157" s="2"/>
      <c r="G157" s="2"/>
      <c r="H157" s="2"/>
      <c r="I157" s="2"/>
      <c r="J157" s="2"/>
      <c r="K157" s="2"/>
      <c r="L157" s="2"/>
      <c r="M157" s="3"/>
    </row>
    <row r="158" ht="12.75" customHeight="1">
      <c r="E158" s="2"/>
      <c r="F158" s="2"/>
      <c r="G158" s="2"/>
      <c r="H158" s="2"/>
      <c r="I158" s="2"/>
      <c r="J158" s="2"/>
      <c r="K158" s="2"/>
      <c r="L158" s="2"/>
      <c r="M158" s="3"/>
    </row>
    <row r="159" ht="12.75" customHeight="1">
      <c r="E159" s="2"/>
      <c r="F159" s="2"/>
      <c r="G159" s="2"/>
      <c r="H159" s="2"/>
      <c r="I159" s="2"/>
      <c r="J159" s="2"/>
      <c r="K159" s="2"/>
      <c r="L159" s="2"/>
      <c r="M159" s="3"/>
    </row>
    <row r="160" ht="12.75" customHeight="1">
      <c r="E160" s="2"/>
      <c r="F160" s="2"/>
      <c r="G160" s="2"/>
      <c r="H160" s="2"/>
      <c r="I160" s="2"/>
      <c r="J160" s="2"/>
      <c r="K160" s="2"/>
      <c r="L160" s="2"/>
      <c r="M160" s="3"/>
    </row>
    <row r="161" ht="12.75" customHeight="1">
      <c r="E161" s="2"/>
      <c r="F161" s="2"/>
      <c r="G161" s="2"/>
      <c r="H161" s="2"/>
      <c r="I161" s="2"/>
      <c r="J161" s="2"/>
      <c r="K161" s="2"/>
      <c r="L161" s="2"/>
      <c r="M161" s="3"/>
    </row>
    <row r="162" ht="12.75" customHeight="1">
      <c r="E162" s="2"/>
      <c r="F162" s="2"/>
      <c r="G162" s="2"/>
      <c r="H162" s="2"/>
      <c r="I162" s="2"/>
      <c r="J162" s="2"/>
      <c r="K162" s="2"/>
      <c r="L162" s="2"/>
      <c r="M162" s="3"/>
    </row>
    <row r="163" ht="12.75" customHeight="1">
      <c r="E163" s="2"/>
      <c r="F163" s="2"/>
      <c r="G163" s="2"/>
      <c r="H163" s="2"/>
      <c r="I163" s="2"/>
      <c r="J163" s="2"/>
      <c r="K163" s="2"/>
      <c r="L163" s="2"/>
      <c r="M163" s="3"/>
    </row>
    <row r="164" ht="12.75" customHeight="1">
      <c r="E164" s="2"/>
      <c r="F164" s="2"/>
      <c r="G164" s="2"/>
      <c r="H164" s="2"/>
      <c r="I164" s="2"/>
      <c r="J164" s="2"/>
      <c r="K164" s="2"/>
      <c r="L164" s="2"/>
      <c r="M164" s="3"/>
    </row>
    <row r="165" ht="12.75" customHeight="1">
      <c r="E165" s="2"/>
      <c r="F165" s="2"/>
      <c r="G165" s="2"/>
      <c r="H165" s="2"/>
      <c r="I165" s="2"/>
      <c r="J165" s="2"/>
      <c r="K165" s="2"/>
      <c r="L165" s="2"/>
      <c r="M165" s="3"/>
    </row>
    <row r="166" ht="12.75" customHeight="1">
      <c r="E166" s="2"/>
      <c r="F166" s="2"/>
      <c r="G166" s="2"/>
      <c r="H166" s="2"/>
      <c r="I166" s="2"/>
      <c r="J166" s="2"/>
      <c r="K166" s="2"/>
      <c r="L166" s="2"/>
      <c r="M166" s="3"/>
    </row>
    <row r="167" ht="12.75" customHeight="1">
      <c r="E167" s="2"/>
      <c r="F167" s="2"/>
      <c r="G167" s="2"/>
      <c r="H167" s="2"/>
      <c r="I167" s="2"/>
      <c r="J167" s="2"/>
      <c r="K167" s="2"/>
      <c r="L167" s="2"/>
      <c r="M167" s="3"/>
    </row>
    <row r="168" ht="12.75" customHeight="1">
      <c r="E168" s="2"/>
      <c r="F168" s="2"/>
      <c r="G168" s="2"/>
      <c r="H168" s="2"/>
      <c r="I168" s="2"/>
      <c r="J168" s="2"/>
      <c r="K168" s="2"/>
      <c r="L168" s="2"/>
      <c r="M168" s="3"/>
    </row>
    <row r="169" ht="12.75" customHeight="1">
      <c r="E169" s="2"/>
      <c r="F169" s="2"/>
      <c r="G169" s="2"/>
      <c r="H169" s="2"/>
      <c r="I169" s="2"/>
      <c r="J169" s="2"/>
      <c r="K169" s="2"/>
      <c r="L169" s="2"/>
      <c r="M169" s="3"/>
    </row>
    <row r="170" ht="12.75" customHeight="1">
      <c r="E170" s="2"/>
      <c r="F170" s="2"/>
      <c r="G170" s="2"/>
      <c r="H170" s="2"/>
      <c r="I170" s="2"/>
      <c r="J170" s="2"/>
      <c r="K170" s="2"/>
      <c r="L170" s="2"/>
      <c r="M170" s="3"/>
    </row>
    <row r="171" ht="12.75" customHeight="1">
      <c r="E171" s="2"/>
      <c r="F171" s="2"/>
      <c r="G171" s="2"/>
      <c r="H171" s="2"/>
      <c r="I171" s="2"/>
      <c r="J171" s="2"/>
      <c r="K171" s="2"/>
      <c r="L171" s="2"/>
      <c r="M171" s="3"/>
    </row>
    <row r="172" ht="12.75" customHeight="1">
      <c r="E172" s="2"/>
      <c r="F172" s="2"/>
      <c r="G172" s="2"/>
      <c r="H172" s="2"/>
      <c r="I172" s="2"/>
      <c r="J172" s="2"/>
      <c r="K172" s="2"/>
      <c r="L172" s="2"/>
      <c r="M172" s="3"/>
    </row>
    <row r="173" ht="12.75" customHeight="1">
      <c r="E173" s="2"/>
      <c r="F173" s="2"/>
      <c r="G173" s="2"/>
      <c r="H173" s="2"/>
      <c r="I173" s="2"/>
      <c r="J173" s="2"/>
      <c r="K173" s="2"/>
      <c r="L173" s="2"/>
      <c r="M173" s="3"/>
    </row>
    <row r="174" ht="12.75" customHeight="1">
      <c r="E174" s="2"/>
      <c r="F174" s="2"/>
      <c r="G174" s="2"/>
      <c r="H174" s="2"/>
      <c r="I174" s="2"/>
      <c r="J174" s="2"/>
      <c r="K174" s="2"/>
      <c r="L174" s="2"/>
      <c r="M174" s="3"/>
    </row>
    <row r="175" ht="12.75" customHeight="1">
      <c r="E175" s="2"/>
      <c r="F175" s="2"/>
      <c r="G175" s="2"/>
      <c r="H175" s="2"/>
      <c r="I175" s="2"/>
      <c r="J175" s="2"/>
      <c r="K175" s="2"/>
      <c r="L175" s="2"/>
      <c r="M175" s="3"/>
    </row>
    <row r="176" ht="12.75" customHeight="1">
      <c r="E176" s="2"/>
      <c r="F176" s="2"/>
      <c r="G176" s="2"/>
      <c r="H176" s="2"/>
      <c r="I176" s="2"/>
      <c r="J176" s="2"/>
      <c r="K176" s="2"/>
      <c r="L176" s="2"/>
      <c r="M176" s="3"/>
    </row>
    <row r="177" ht="12.75" customHeight="1">
      <c r="E177" s="2"/>
      <c r="F177" s="2"/>
      <c r="G177" s="2"/>
      <c r="H177" s="2"/>
      <c r="I177" s="2"/>
      <c r="J177" s="2"/>
      <c r="K177" s="2"/>
      <c r="L177" s="2"/>
      <c r="M177" s="3"/>
    </row>
    <row r="178" ht="12.75" customHeight="1">
      <c r="E178" s="2"/>
      <c r="F178" s="2"/>
      <c r="G178" s="2"/>
      <c r="H178" s="2"/>
      <c r="I178" s="2"/>
      <c r="J178" s="2"/>
      <c r="K178" s="2"/>
      <c r="L178" s="2"/>
      <c r="M178" s="3"/>
    </row>
    <row r="179" ht="12.75" customHeight="1">
      <c r="E179" s="2"/>
      <c r="F179" s="2"/>
      <c r="G179" s="2"/>
      <c r="H179" s="2"/>
      <c r="I179" s="2"/>
      <c r="J179" s="2"/>
      <c r="K179" s="2"/>
      <c r="L179" s="2"/>
      <c r="M179" s="3"/>
    </row>
    <row r="180" ht="12.75" customHeight="1">
      <c r="E180" s="2"/>
      <c r="F180" s="2"/>
      <c r="G180" s="2"/>
      <c r="H180" s="2"/>
      <c r="I180" s="2"/>
      <c r="J180" s="2"/>
      <c r="K180" s="2"/>
      <c r="L180" s="2"/>
      <c r="M180" s="3"/>
    </row>
    <row r="181" ht="12.75" customHeight="1">
      <c r="E181" s="2"/>
      <c r="F181" s="2"/>
      <c r="G181" s="2"/>
      <c r="H181" s="2"/>
      <c r="I181" s="2"/>
      <c r="J181" s="2"/>
      <c r="K181" s="2"/>
      <c r="L181" s="2"/>
      <c r="M181" s="3"/>
    </row>
    <row r="182" ht="12.75" customHeight="1">
      <c r="E182" s="2"/>
      <c r="F182" s="2"/>
      <c r="G182" s="2"/>
      <c r="H182" s="2"/>
      <c r="I182" s="2"/>
      <c r="J182" s="2"/>
      <c r="K182" s="2"/>
      <c r="L182" s="2"/>
      <c r="M182" s="3"/>
    </row>
    <row r="183" ht="12.75" customHeight="1">
      <c r="E183" s="2"/>
      <c r="F183" s="2"/>
      <c r="G183" s="2"/>
      <c r="H183" s="2"/>
      <c r="I183" s="2"/>
      <c r="J183" s="2"/>
      <c r="K183" s="2"/>
      <c r="L183" s="2"/>
      <c r="M183" s="3"/>
    </row>
    <row r="184" ht="12.75" customHeight="1">
      <c r="E184" s="2"/>
      <c r="F184" s="2"/>
      <c r="G184" s="2"/>
      <c r="H184" s="2"/>
      <c r="I184" s="2"/>
      <c r="J184" s="2"/>
      <c r="K184" s="2"/>
      <c r="L184" s="2"/>
      <c r="M184" s="3"/>
    </row>
    <row r="185" ht="12.75" customHeight="1">
      <c r="E185" s="2"/>
      <c r="F185" s="2"/>
      <c r="G185" s="2"/>
      <c r="H185" s="2"/>
      <c r="I185" s="2"/>
      <c r="J185" s="2"/>
      <c r="K185" s="2"/>
      <c r="L185" s="2"/>
      <c r="M185" s="3"/>
    </row>
    <row r="186" ht="12.75" customHeight="1">
      <c r="E186" s="2"/>
      <c r="F186" s="2"/>
      <c r="G186" s="2"/>
      <c r="H186" s="2"/>
      <c r="I186" s="2"/>
      <c r="J186" s="2"/>
      <c r="K186" s="2"/>
      <c r="L186" s="2"/>
      <c r="M186" s="3"/>
    </row>
    <row r="187" ht="12.75" customHeight="1">
      <c r="E187" s="2"/>
      <c r="F187" s="2"/>
      <c r="G187" s="2"/>
      <c r="H187" s="2"/>
      <c r="I187" s="2"/>
      <c r="J187" s="2"/>
      <c r="K187" s="2"/>
      <c r="L187" s="2"/>
      <c r="M187" s="3"/>
    </row>
    <row r="188" ht="12.75" customHeight="1">
      <c r="E188" s="2"/>
      <c r="F188" s="2"/>
      <c r="G188" s="2"/>
      <c r="H188" s="2"/>
      <c r="I188" s="2"/>
      <c r="J188" s="2"/>
      <c r="K188" s="2"/>
      <c r="L188" s="2"/>
      <c r="M188" s="3"/>
    </row>
    <row r="189" ht="12.75" customHeight="1">
      <c r="E189" s="2"/>
      <c r="F189" s="2"/>
      <c r="G189" s="2"/>
      <c r="H189" s="2"/>
      <c r="I189" s="2"/>
      <c r="J189" s="2"/>
      <c r="K189" s="2"/>
      <c r="L189" s="2"/>
      <c r="M189" s="3"/>
    </row>
    <row r="190" ht="12.75" customHeight="1">
      <c r="E190" s="2"/>
      <c r="F190" s="2"/>
      <c r="G190" s="2"/>
      <c r="H190" s="2"/>
      <c r="I190" s="2"/>
      <c r="J190" s="2"/>
      <c r="K190" s="2"/>
      <c r="L190" s="2"/>
      <c r="M190" s="3"/>
    </row>
    <row r="191" ht="12.75" customHeight="1">
      <c r="E191" s="2"/>
      <c r="F191" s="2"/>
      <c r="G191" s="2"/>
      <c r="H191" s="2"/>
      <c r="I191" s="2"/>
      <c r="J191" s="2"/>
      <c r="K191" s="2"/>
      <c r="L191" s="2"/>
      <c r="M191" s="3"/>
    </row>
    <row r="192" ht="12.75" customHeight="1">
      <c r="E192" s="2"/>
      <c r="F192" s="2"/>
      <c r="G192" s="2"/>
      <c r="H192" s="2"/>
      <c r="I192" s="2"/>
      <c r="J192" s="2"/>
      <c r="K192" s="2"/>
      <c r="L192" s="2"/>
      <c r="M192" s="3"/>
    </row>
    <row r="193" ht="12.75" customHeight="1">
      <c r="E193" s="2"/>
      <c r="F193" s="2"/>
      <c r="G193" s="2"/>
      <c r="H193" s="2"/>
      <c r="I193" s="2"/>
      <c r="J193" s="2"/>
      <c r="K193" s="2"/>
      <c r="L193" s="2"/>
      <c r="M193" s="3"/>
    </row>
    <row r="194" ht="12.75" customHeight="1">
      <c r="E194" s="2"/>
      <c r="F194" s="2"/>
      <c r="G194" s="2"/>
      <c r="H194" s="2"/>
      <c r="I194" s="2"/>
      <c r="J194" s="2"/>
      <c r="K194" s="2"/>
      <c r="L194" s="2"/>
      <c r="M194" s="3"/>
    </row>
    <row r="195" ht="12.75" customHeight="1">
      <c r="E195" s="2"/>
      <c r="F195" s="2"/>
      <c r="G195" s="2"/>
      <c r="H195" s="2"/>
      <c r="I195" s="2"/>
      <c r="J195" s="2"/>
      <c r="K195" s="2"/>
      <c r="L195" s="2"/>
      <c r="M195" s="3"/>
    </row>
    <row r="196" ht="12.75" customHeight="1">
      <c r="E196" s="2"/>
      <c r="F196" s="2"/>
      <c r="G196" s="2"/>
      <c r="H196" s="2"/>
      <c r="I196" s="2"/>
      <c r="J196" s="2"/>
      <c r="K196" s="2"/>
      <c r="L196" s="2"/>
      <c r="M196" s="3"/>
    </row>
    <row r="197" ht="12.75" customHeight="1">
      <c r="E197" s="2"/>
      <c r="F197" s="2"/>
      <c r="G197" s="2"/>
      <c r="H197" s="2"/>
      <c r="I197" s="2"/>
      <c r="J197" s="2"/>
      <c r="K197" s="2"/>
      <c r="L197" s="2"/>
      <c r="M197" s="3"/>
    </row>
    <row r="198" ht="12.75" customHeight="1">
      <c r="E198" s="2"/>
      <c r="F198" s="2"/>
      <c r="G198" s="2"/>
      <c r="H198" s="2"/>
      <c r="I198" s="2"/>
      <c r="J198" s="2"/>
      <c r="K198" s="2"/>
      <c r="L198" s="2"/>
      <c r="M198" s="3"/>
    </row>
    <row r="199" ht="12.75" customHeight="1">
      <c r="E199" s="2"/>
      <c r="F199" s="2"/>
      <c r="G199" s="2"/>
      <c r="H199" s="2"/>
      <c r="I199" s="2"/>
      <c r="J199" s="2"/>
      <c r="K199" s="2"/>
      <c r="L199" s="2"/>
      <c r="M199" s="3"/>
    </row>
    <row r="200" ht="12.75" customHeight="1">
      <c r="E200" s="2"/>
      <c r="F200" s="2"/>
      <c r="G200" s="2"/>
      <c r="H200" s="2"/>
      <c r="I200" s="2"/>
      <c r="J200" s="2"/>
      <c r="K200" s="2"/>
      <c r="L200" s="2"/>
      <c r="M200" s="3"/>
    </row>
    <row r="201" ht="12.75" customHeight="1">
      <c r="E201" s="2"/>
      <c r="F201" s="2"/>
      <c r="G201" s="2"/>
      <c r="H201" s="2"/>
      <c r="I201" s="2"/>
      <c r="J201" s="2"/>
      <c r="K201" s="2"/>
      <c r="L201" s="2"/>
      <c r="M201" s="3"/>
    </row>
    <row r="202" ht="12.75" customHeight="1">
      <c r="E202" s="2"/>
      <c r="F202" s="2"/>
      <c r="G202" s="2"/>
      <c r="H202" s="2"/>
      <c r="I202" s="2"/>
      <c r="J202" s="2"/>
      <c r="K202" s="2"/>
      <c r="L202" s="2"/>
      <c r="M202" s="3"/>
    </row>
    <row r="203" ht="12.75" customHeight="1">
      <c r="E203" s="2"/>
      <c r="F203" s="2"/>
      <c r="G203" s="2"/>
      <c r="H203" s="2"/>
      <c r="I203" s="2"/>
      <c r="J203" s="2"/>
      <c r="K203" s="2"/>
      <c r="L203" s="2"/>
      <c r="M203" s="3"/>
    </row>
    <row r="204" ht="12.75" customHeight="1">
      <c r="E204" s="2"/>
      <c r="F204" s="2"/>
      <c r="G204" s="2"/>
      <c r="H204" s="2"/>
      <c r="I204" s="2"/>
      <c r="J204" s="2"/>
      <c r="K204" s="2"/>
      <c r="L204" s="2"/>
      <c r="M204" s="3"/>
    </row>
    <row r="205" ht="12.75" customHeight="1">
      <c r="E205" s="2"/>
      <c r="F205" s="2"/>
      <c r="G205" s="2"/>
      <c r="H205" s="2"/>
      <c r="I205" s="2"/>
      <c r="J205" s="2"/>
      <c r="K205" s="2"/>
      <c r="L205" s="2"/>
      <c r="M205" s="3"/>
    </row>
    <row r="206" ht="12.75" customHeight="1">
      <c r="E206" s="2"/>
      <c r="F206" s="2"/>
      <c r="G206" s="2"/>
      <c r="H206" s="2"/>
      <c r="I206" s="2"/>
      <c r="J206" s="2"/>
      <c r="K206" s="2"/>
      <c r="L206" s="2"/>
      <c r="M206" s="3"/>
    </row>
    <row r="207" ht="12.75" customHeight="1">
      <c r="E207" s="2"/>
      <c r="F207" s="2"/>
      <c r="G207" s="2"/>
      <c r="H207" s="2"/>
      <c r="I207" s="2"/>
      <c r="J207" s="2"/>
      <c r="K207" s="2"/>
      <c r="L207" s="2"/>
      <c r="M207" s="3"/>
    </row>
    <row r="208" ht="12.75" customHeight="1">
      <c r="E208" s="2"/>
      <c r="F208" s="2"/>
      <c r="G208" s="2"/>
      <c r="H208" s="2"/>
      <c r="I208" s="2"/>
      <c r="J208" s="2"/>
      <c r="K208" s="2"/>
      <c r="L208" s="2"/>
      <c r="M208" s="3"/>
    </row>
    <row r="209" ht="12.75" customHeight="1">
      <c r="E209" s="2"/>
      <c r="F209" s="2"/>
      <c r="G209" s="2"/>
      <c r="H209" s="2"/>
      <c r="I209" s="2"/>
      <c r="J209" s="2"/>
      <c r="K209" s="2"/>
      <c r="L209" s="2"/>
      <c r="M209" s="3"/>
    </row>
    <row r="210" ht="12.75" customHeight="1">
      <c r="E210" s="2"/>
      <c r="F210" s="2"/>
      <c r="G210" s="2"/>
      <c r="H210" s="2"/>
      <c r="I210" s="2"/>
      <c r="J210" s="2"/>
      <c r="K210" s="2"/>
      <c r="L210" s="2"/>
      <c r="M210" s="3"/>
    </row>
    <row r="211" ht="12.75" customHeight="1">
      <c r="E211" s="2"/>
      <c r="F211" s="2"/>
      <c r="G211" s="2"/>
      <c r="H211" s="2"/>
      <c r="I211" s="2"/>
      <c r="J211" s="2"/>
      <c r="K211" s="2"/>
      <c r="L211" s="2"/>
      <c r="M211" s="3"/>
    </row>
    <row r="212" ht="12.75" customHeight="1">
      <c r="E212" s="2"/>
      <c r="F212" s="2"/>
      <c r="G212" s="2"/>
      <c r="H212" s="2"/>
      <c r="I212" s="2"/>
      <c r="J212" s="2"/>
      <c r="K212" s="2"/>
      <c r="L212" s="2"/>
      <c r="M212" s="3"/>
    </row>
    <row r="213" ht="12.75" customHeight="1">
      <c r="E213" s="2"/>
      <c r="F213" s="2"/>
      <c r="G213" s="2"/>
      <c r="H213" s="2"/>
      <c r="I213" s="2"/>
      <c r="J213" s="2"/>
      <c r="K213" s="2"/>
      <c r="L213" s="2"/>
      <c r="M213" s="3"/>
    </row>
    <row r="214" ht="12.75" customHeight="1">
      <c r="E214" s="2"/>
      <c r="F214" s="2"/>
      <c r="G214" s="2"/>
      <c r="H214" s="2"/>
      <c r="I214" s="2"/>
      <c r="J214" s="2"/>
      <c r="K214" s="2"/>
      <c r="L214" s="2"/>
      <c r="M214" s="3"/>
    </row>
    <row r="215" ht="12.75" customHeight="1">
      <c r="E215" s="2"/>
      <c r="F215" s="2"/>
      <c r="G215" s="2"/>
      <c r="H215" s="2"/>
      <c r="I215" s="2"/>
      <c r="J215" s="2"/>
      <c r="K215" s="2"/>
      <c r="L215" s="2"/>
      <c r="M215" s="3"/>
    </row>
    <row r="216" ht="12.75" customHeight="1">
      <c r="E216" s="2"/>
      <c r="F216" s="2"/>
      <c r="G216" s="2"/>
      <c r="H216" s="2"/>
      <c r="I216" s="2"/>
      <c r="J216" s="2"/>
      <c r="K216" s="2"/>
      <c r="L216" s="2"/>
      <c r="M216" s="3"/>
    </row>
    <row r="217" ht="12.75" customHeight="1">
      <c r="E217" s="2"/>
      <c r="F217" s="2"/>
      <c r="G217" s="2"/>
      <c r="H217" s="2"/>
      <c r="I217" s="2"/>
      <c r="J217" s="2"/>
      <c r="K217" s="2"/>
      <c r="L217" s="2"/>
      <c r="M217" s="3"/>
    </row>
    <row r="218" ht="12.75" customHeight="1">
      <c r="E218" s="2"/>
      <c r="F218" s="2"/>
      <c r="G218" s="2"/>
      <c r="H218" s="2"/>
      <c r="I218" s="2"/>
      <c r="J218" s="2"/>
      <c r="K218" s="2"/>
      <c r="L218" s="2"/>
      <c r="M218" s="3"/>
    </row>
    <row r="219" ht="12.75" customHeight="1">
      <c r="E219" s="2"/>
      <c r="F219" s="2"/>
      <c r="G219" s="2"/>
      <c r="H219" s="2"/>
      <c r="I219" s="2"/>
      <c r="J219" s="2"/>
      <c r="K219" s="2"/>
      <c r="L219" s="2"/>
      <c r="M219" s="3"/>
    </row>
    <row r="220" ht="12.75" customHeight="1">
      <c r="E220" s="2"/>
      <c r="F220" s="2"/>
      <c r="G220" s="2"/>
      <c r="H220" s="2"/>
      <c r="I220" s="2"/>
      <c r="J220" s="2"/>
      <c r="K220" s="2"/>
      <c r="L220" s="2"/>
      <c r="M220" s="3"/>
    </row>
    <row r="221" ht="12.75" customHeight="1">
      <c r="E221" s="2"/>
      <c r="F221" s="2"/>
      <c r="G221" s="2"/>
      <c r="H221" s="2"/>
      <c r="I221" s="2"/>
      <c r="J221" s="2"/>
      <c r="K221" s="2"/>
      <c r="L221" s="2"/>
      <c r="M221" s="3"/>
    </row>
    <row r="222" ht="12.75" customHeight="1">
      <c r="E222" s="2"/>
      <c r="F222" s="2"/>
      <c r="G222" s="2"/>
      <c r="H222" s="2"/>
      <c r="I222" s="2"/>
      <c r="J222" s="2"/>
      <c r="K222" s="2"/>
      <c r="L222" s="2"/>
      <c r="M222" s="3"/>
    </row>
    <row r="223" ht="12.75" customHeight="1">
      <c r="E223" s="2"/>
      <c r="F223" s="2"/>
      <c r="G223" s="2"/>
      <c r="H223" s="2"/>
      <c r="I223" s="2"/>
      <c r="J223" s="2"/>
      <c r="K223" s="2"/>
      <c r="L223" s="2"/>
      <c r="M223" s="3"/>
    </row>
    <row r="224" ht="12.75" customHeight="1">
      <c r="E224" s="2"/>
      <c r="F224" s="2"/>
      <c r="G224" s="2"/>
      <c r="H224" s="2"/>
      <c r="I224" s="2"/>
      <c r="J224" s="2"/>
      <c r="K224" s="2"/>
      <c r="L224" s="2"/>
      <c r="M224" s="3"/>
    </row>
    <row r="225" ht="12.75" customHeight="1">
      <c r="E225" s="2"/>
      <c r="F225" s="2"/>
      <c r="G225" s="2"/>
      <c r="H225" s="2"/>
      <c r="I225" s="2"/>
      <c r="J225" s="2"/>
      <c r="K225" s="2"/>
      <c r="L225" s="2"/>
      <c r="M225" s="3"/>
    </row>
    <row r="226" ht="12.75" customHeight="1">
      <c r="E226" s="2"/>
      <c r="F226" s="2"/>
      <c r="G226" s="2"/>
      <c r="H226" s="2"/>
      <c r="I226" s="2"/>
      <c r="J226" s="2"/>
      <c r="K226" s="2"/>
      <c r="L226" s="2"/>
      <c r="M226" s="3"/>
    </row>
    <row r="227" ht="12.75" customHeight="1">
      <c r="E227" s="2"/>
      <c r="F227" s="2"/>
      <c r="G227" s="2"/>
      <c r="H227" s="2"/>
      <c r="I227" s="2"/>
      <c r="J227" s="2"/>
      <c r="K227" s="2"/>
      <c r="L227" s="2"/>
      <c r="M227" s="3"/>
    </row>
    <row r="228" ht="12.75" customHeight="1">
      <c r="E228" s="2"/>
      <c r="F228" s="2"/>
      <c r="G228" s="2"/>
      <c r="H228" s="2"/>
      <c r="I228" s="2"/>
      <c r="J228" s="2"/>
      <c r="K228" s="2"/>
      <c r="L228" s="2"/>
      <c r="M228" s="3"/>
    </row>
    <row r="229" ht="12.75" customHeight="1">
      <c r="E229" s="2"/>
      <c r="F229" s="2"/>
      <c r="G229" s="2"/>
      <c r="H229" s="2"/>
      <c r="I229" s="2"/>
      <c r="J229" s="2"/>
      <c r="K229" s="2"/>
      <c r="L229" s="2"/>
      <c r="M229" s="3"/>
    </row>
    <row r="230" ht="12.75" customHeight="1">
      <c r="E230" s="2"/>
      <c r="F230" s="2"/>
      <c r="G230" s="2"/>
      <c r="H230" s="2"/>
      <c r="I230" s="2"/>
      <c r="J230" s="2"/>
      <c r="K230" s="2"/>
      <c r="L230" s="2"/>
      <c r="M230" s="3"/>
    </row>
    <row r="231" ht="12.75" customHeight="1">
      <c r="E231" s="2"/>
      <c r="F231" s="2"/>
      <c r="G231" s="2"/>
      <c r="H231" s="2"/>
      <c r="I231" s="2"/>
      <c r="J231" s="2"/>
      <c r="K231" s="2"/>
      <c r="L231" s="2"/>
      <c r="M231" s="3"/>
    </row>
    <row r="232" ht="12.75" customHeight="1">
      <c r="E232" s="2"/>
      <c r="F232" s="2"/>
      <c r="G232" s="2"/>
      <c r="H232" s="2"/>
      <c r="I232" s="2"/>
      <c r="J232" s="2"/>
      <c r="K232" s="2"/>
      <c r="L232" s="2"/>
      <c r="M232" s="3"/>
    </row>
    <row r="233" ht="12.75" customHeight="1">
      <c r="E233" s="2"/>
      <c r="F233" s="2"/>
      <c r="G233" s="2"/>
      <c r="H233" s="2"/>
      <c r="I233" s="2"/>
      <c r="J233" s="2"/>
      <c r="K233" s="2"/>
      <c r="L233" s="2"/>
      <c r="M233" s="3"/>
    </row>
    <row r="234" ht="12.75" customHeight="1">
      <c r="E234" s="2"/>
      <c r="F234" s="2"/>
      <c r="G234" s="2"/>
      <c r="H234" s="2"/>
      <c r="I234" s="2"/>
      <c r="J234" s="2"/>
      <c r="K234" s="2"/>
      <c r="L234" s="2"/>
      <c r="M234" s="3"/>
    </row>
    <row r="235" ht="12.75" customHeight="1">
      <c r="E235" s="2"/>
      <c r="F235" s="2"/>
      <c r="G235" s="2"/>
      <c r="H235" s="2"/>
      <c r="I235" s="2"/>
      <c r="J235" s="2"/>
      <c r="K235" s="2"/>
      <c r="L235" s="2"/>
      <c r="M235" s="3"/>
    </row>
    <row r="236" ht="12.75" customHeight="1">
      <c r="E236" s="2"/>
      <c r="F236" s="2"/>
      <c r="G236" s="2"/>
      <c r="H236" s="2"/>
      <c r="I236" s="2"/>
      <c r="J236" s="2"/>
      <c r="K236" s="2"/>
      <c r="L236" s="2"/>
      <c r="M236" s="3"/>
    </row>
    <row r="237" ht="12.75" customHeight="1">
      <c r="E237" s="2"/>
      <c r="F237" s="2"/>
      <c r="G237" s="2"/>
      <c r="H237" s="2"/>
      <c r="I237" s="2"/>
      <c r="J237" s="2"/>
      <c r="K237" s="2"/>
      <c r="L237" s="2"/>
      <c r="M237" s="3"/>
    </row>
    <row r="238" ht="12.75" customHeight="1">
      <c r="E238" s="2"/>
      <c r="F238" s="2"/>
      <c r="G238" s="2"/>
      <c r="H238" s="2"/>
      <c r="I238" s="2"/>
      <c r="J238" s="2"/>
      <c r="K238" s="2"/>
      <c r="L238" s="2"/>
      <c r="M238" s="3"/>
    </row>
    <row r="239" ht="12.75" customHeight="1">
      <c r="E239" s="2"/>
      <c r="F239" s="2"/>
      <c r="G239" s="2"/>
      <c r="H239" s="2"/>
      <c r="I239" s="2"/>
      <c r="J239" s="2"/>
      <c r="K239" s="2"/>
      <c r="L239" s="2"/>
      <c r="M239" s="3"/>
    </row>
    <row r="240" ht="12.75" customHeight="1">
      <c r="E240" s="2"/>
      <c r="F240" s="2"/>
      <c r="G240" s="2"/>
      <c r="H240" s="2"/>
      <c r="I240" s="2"/>
      <c r="J240" s="2"/>
      <c r="K240" s="2"/>
      <c r="L240" s="2"/>
      <c r="M240" s="3"/>
    </row>
    <row r="241" ht="12.75" customHeight="1">
      <c r="E241" s="2"/>
      <c r="F241" s="2"/>
      <c r="G241" s="2"/>
      <c r="H241" s="2"/>
      <c r="I241" s="2"/>
      <c r="J241" s="2"/>
      <c r="K241" s="2"/>
      <c r="L241" s="2"/>
      <c r="M241" s="3"/>
    </row>
    <row r="242" ht="12.75" customHeight="1">
      <c r="E242" s="2"/>
      <c r="F242" s="2"/>
      <c r="G242" s="2"/>
      <c r="H242" s="2"/>
      <c r="I242" s="2"/>
      <c r="J242" s="2"/>
      <c r="K242" s="2"/>
      <c r="L242" s="2"/>
      <c r="M242" s="3"/>
    </row>
    <row r="243" ht="12.75" customHeight="1">
      <c r="E243" s="2"/>
      <c r="F243" s="2"/>
      <c r="G243" s="2"/>
      <c r="H243" s="2"/>
      <c r="I243" s="2"/>
      <c r="J243" s="2"/>
      <c r="K243" s="2"/>
      <c r="L243" s="2"/>
      <c r="M243" s="3"/>
    </row>
    <row r="244" ht="12.75" customHeight="1">
      <c r="E244" s="2"/>
      <c r="F244" s="2"/>
      <c r="G244" s="2"/>
      <c r="H244" s="2"/>
      <c r="I244" s="2"/>
      <c r="J244" s="2"/>
      <c r="K244" s="2"/>
      <c r="L244" s="2"/>
      <c r="M244" s="3"/>
    </row>
    <row r="245" ht="12.75" customHeight="1">
      <c r="E245" s="2"/>
      <c r="F245" s="2"/>
      <c r="G245" s="2"/>
      <c r="H245" s="2"/>
      <c r="I245" s="2"/>
      <c r="J245" s="2"/>
      <c r="K245" s="2"/>
      <c r="L245" s="2"/>
      <c r="M245" s="3"/>
    </row>
    <row r="246" ht="12.75" customHeight="1">
      <c r="E246" s="2"/>
      <c r="F246" s="2"/>
      <c r="G246" s="2"/>
      <c r="H246" s="2"/>
      <c r="I246" s="2"/>
      <c r="J246" s="2"/>
      <c r="K246" s="2"/>
      <c r="L246" s="2"/>
      <c r="M246" s="3"/>
    </row>
    <row r="247" ht="12.75" customHeight="1">
      <c r="E247" s="2"/>
      <c r="F247" s="2"/>
      <c r="G247" s="2"/>
      <c r="H247" s="2"/>
      <c r="I247" s="2"/>
      <c r="J247" s="2"/>
      <c r="K247" s="2"/>
      <c r="L247" s="2"/>
      <c r="M247" s="3"/>
    </row>
    <row r="248" ht="12.75" customHeight="1">
      <c r="E248" s="2"/>
      <c r="F248" s="2"/>
      <c r="G248" s="2"/>
      <c r="H248" s="2"/>
      <c r="I248" s="2"/>
      <c r="J248" s="2"/>
      <c r="K248" s="2"/>
      <c r="L248" s="2"/>
      <c r="M248" s="3"/>
    </row>
    <row r="249" ht="12.75" customHeight="1">
      <c r="E249" s="2"/>
      <c r="F249" s="2"/>
      <c r="G249" s="2"/>
      <c r="H249" s="2"/>
      <c r="I249" s="2"/>
      <c r="J249" s="2"/>
      <c r="K249" s="2"/>
      <c r="L249" s="2"/>
      <c r="M249" s="3"/>
    </row>
    <row r="250" ht="12.75" customHeight="1">
      <c r="E250" s="2"/>
      <c r="F250" s="2"/>
      <c r="G250" s="2"/>
      <c r="H250" s="2"/>
      <c r="I250" s="2"/>
      <c r="J250" s="2"/>
      <c r="K250" s="2"/>
      <c r="L250" s="2"/>
      <c r="M250" s="3"/>
    </row>
    <row r="251" ht="12.75" customHeight="1">
      <c r="E251" s="2"/>
      <c r="F251" s="2"/>
      <c r="G251" s="2"/>
      <c r="H251" s="2"/>
      <c r="I251" s="2"/>
      <c r="J251" s="2"/>
      <c r="K251" s="2"/>
      <c r="L251" s="2"/>
      <c r="M251" s="3"/>
    </row>
    <row r="252" ht="12.75" customHeight="1">
      <c r="E252" s="2"/>
      <c r="F252" s="2"/>
      <c r="G252" s="2"/>
      <c r="H252" s="2"/>
      <c r="I252" s="2"/>
      <c r="J252" s="2"/>
      <c r="K252" s="2"/>
      <c r="L252" s="2"/>
      <c r="M252" s="3"/>
    </row>
    <row r="253" ht="12.75" customHeight="1">
      <c r="E253" s="2"/>
      <c r="F253" s="2"/>
      <c r="G253" s="2"/>
      <c r="H253" s="2"/>
      <c r="I253" s="2"/>
      <c r="J253" s="2"/>
      <c r="K253" s="2"/>
      <c r="L253" s="2"/>
      <c r="M253" s="3"/>
    </row>
    <row r="254" ht="12.75" customHeight="1">
      <c r="E254" s="2"/>
      <c r="F254" s="2"/>
      <c r="G254" s="2"/>
      <c r="H254" s="2"/>
      <c r="I254" s="2"/>
      <c r="J254" s="2"/>
      <c r="K254" s="2"/>
      <c r="L254" s="2"/>
      <c r="M254" s="3"/>
    </row>
    <row r="255" ht="12.75" customHeight="1">
      <c r="E255" s="2"/>
      <c r="F255" s="2"/>
      <c r="G255" s="2"/>
      <c r="H255" s="2"/>
      <c r="I255" s="2"/>
      <c r="J255" s="2"/>
      <c r="K255" s="2"/>
      <c r="L255" s="2"/>
      <c r="M255" s="3"/>
    </row>
    <row r="256" ht="12.75" customHeight="1">
      <c r="E256" s="2"/>
      <c r="F256" s="2"/>
      <c r="G256" s="2"/>
      <c r="H256" s="2"/>
      <c r="I256" s="2"/>
      <c r="J256" s="2"/>
      <c r="K256" s="2"/>
      <c r="L256" s="2"/>
      <c r="M256" s="3"/>
    </row>
    <row r="257" ht="12.75" customHeight="1">
      <c r="E257" s="2"/>
      <c r="F257" s="2"/>
      <c r="G257" s="2"/>
      <c r="H257" s="2"/>
      <c r="I257" s="2"/>
      <c r="J257" s="2"/>
      <c r="K257" s="2"/>
      <c r="L257" s="2"/>
      <c r="M257" s="3"/>
    </row>
    <row r="258" ht="12.75" customHeight="1">
      <c r="E258" s="2"/>
      <c r="F258" s="2"/>
      <c r="G258" s="2"/>
      <c r="H258" s="2"/>
      <c r="I258" s="2"/>
      <c r="J258" s="2"/>
      <c r="K258" s="2"/>
      <c r="L258" s="2"/>
      <c r="M258" s="3"/>
    </row>
    <row r="259" ht="12.75" customHeight="1">
      <c r="E259" s="2"/>
      <c r="F259" s="2"/>
      <c r="G259" s="2"/>
      <c r="H259" s="2"/>
      <c r="I259" s="2"/>
      <c r="J259" s="2"/>
      <c r="K259" s="2"/>
      <c r="L259" s="2"/>
      <c r="M259" s="3"/>
    </row>
    <row r="260" ht="12.75" customHeight="1">
      <c r="E260" s="2"/>
      <c r="F260" s="2"/>
      <c r="G260" s="2"/>
      <c r="H260" s="2"/>
      <c r="I260" s="2"/>
      <c r="J260" s="2"/>
      <c r="K260" s="2"/>
      <c r="L260" s="2"/>
      <c r="M260" s="3"/>
    </row>
    <row r="261" ht="12.75" customHeight="1">
      <c r="E261" s="2"/>
      <c r="F261" s="2"/>
      <c r="G261" s="2"/>
      <c r="H261" s="2"/>
      <c r="I261" s="2"/>
      <c r="J261" s="2"/>
      <c r="K261" s="2"/>
      <c r="L261" s="2"/>
      <c r="M261" s="3"/>
    </row>
    <row r="262" ht="12.75" customHeight="1">
      <c r="E262" s="2"/>
      <c r="F262" s="2"/>
      <c r="G262" s="2"/>
      <c r="H262" s="2"/>
      <c r="I262" s="2"/>
      <c r="J262" s="2"/>
      <c r="K262" s="2"/>
      <c r="L262" s="2"/>
      <c r="M262" s="3"/>
    </row>
    <row r="263" ht="12.75" customHeight="1">
      <c r="E263" s="2"/>
      <c r="F263" s="2"/>
      <c r="G263" s="2"/>
      <c r="H263" s="2"/>
      <c r="I263" s="2"/>
      <c r="J263" s="2"/>
      <c r="K263" s="2"/>
      <c r="L263" s="2"/>
      <c r="M263" s="3"/>
    </row>
    <row r="264" ht="12.75" customHeight="1">
      <c r="E264" s="2"/>
      <c r="F264" s="2"/>
      <c r="G264" s="2"/>
      <c r="H264" s="2"/>
      <c r="I264" s="2"/>
      <c r="J264" s="2"/>
      <c r="K264" s="2"/>
      <c r="L264" s="2"/>
      <c r="M264" s="3"/>
    </row>
    <row r="265" ht="12.75" customHeight="1">
      <c r="E265" s="2"/>
      <c r="F265" s="2"/>
      <c r="G265" s="2"/>
      <c r="H265" s="2"/>
      <c r="I265" s="2"/>
      <c r="J265" s="2"/>
      <c r="K265" s="2"/>
      <c r="L265" s="2"/>
      <c r="M265" s="3"/>
    </row>
    <row r="266" ht="12.75" customHeight="1">
      <c r="E266" s="2"/>
      <c r="F266" s="2"/>
      <c r="G266" s="2"/>
      <c r="H266" s="2"/>
      <c r="I266" s="2"/>
      <c r="J266" s="2"/>
      <c r="K266" s="2"/>
      <c r="L266" s="2"/>
      <c r="M266" s="3"/>
    </row>
    <row r="267" ht="12.75" customHeight="1">
      <c r="E267" s="2"/>
      <c r="F267" s="2"/>
      <c r="G267" s="2"/>
      <c r="H267" s="2"/>
      <c r="I267" s="2"/>
      <c r="J267" s="2"/>
      <c r="K267" s="2"/>
      <c r="L267" s="2"/>
      <c r="M267" s="3"/>
    </row>
    <row r="268" ht="12.75" customHeight="1">
      <c r="E268" s="2"/>
      <c r="F268" s="2"/>
      <c r="G268" s="2"/>
      <c r="H268" s="2"/>
      <c r="I268" s="2"/>
      <c r="J268" s="2"/>
      <c r="K268" s="2"/>
      <c r="L268" s="2"/>
      <c r="M268" s="3"/>
    </row>
    <row r="269" ht="12.75" customHeight="1">
      <c r="E269" s="2"/>
      <c r="F269" s="2"/>
      <c r="G269" s="2"/>
      <c r="H269" s="2"/>
      <c r="I269" s="2"/>
      <c r="J269" s="2"/>
      <c r="K269" s="2"/>
      <c r="L269" s="2"/>
      <c r="M269" s="3"/>
    </row>
    <row r="270" ht="12.75" customHeight="1">
      <c r="E270" s="2"/>
      <c r="F270" s="2"/>
      <c r="G270" s="2"/>
      <c r="H270" s="2"/>
      <c r="I270" s="2"/>
      <c r="J270" s="2"/>
      <c r="K270" s="2"/>
      <c r="L270" s="2"/>
      <c r="M270" s="3"/>
    </row>
    <row r="271" ht="12.75" customHeight="1">
      <c r="E271" s="2"/>
      <c r="F271" s="2"/>
      <c r="G271" s="2"/>
      <c r="H271" s="2"/>
      <c r="I271" s="2"/>
      <c r="J271" s="2"/>
      <c r="K271" s="2"/>
      <c r="L271" s="2"/>
      <c r="M271" s="3"/>
    </row>
    <row r="272" ht="12.75" customHeight="1">
      <c r="E272" s="2"/>
      <c r="F272" s="2"/>
      <c r="G272" s="2"/>
      <c r="H272" s="2"/>
      <c r="I272" s="2"/>
      <c r="J272" s="2"/>
      <c r="K272" s="2"/>
      <c r="L272" s="2"/>
      <c r="M272" s="3"/>
    </row>
    <row r="273" ht="12.75" customHeight="1">
      <c r="E273" s="2"/>
      <c r="F273" s="2"/>
      <c r="G273" s="2"/>
      <c r="H273" s="2"/>
      <c r="I273" s="2"/>
      <c r="J273" s="2"/>
      <c r="K273" s="2"/>
      <c r="L273" s="2"/>
      <c r="M273" s="3"/>
    </row>
    <row r="274" ht="12.75" customHeight="1">
      <c r="E274" s="2"/>
      <c r="F274" s="2"/>
      <c r="G274" s="2"/>
      <c r="H274" s="2"/>
      <c r="I274" s="2"/>
      <c r="J274" s="2"/>
      <c r="K274" s="2"/>
      <c r="L274" s="2"/>
      <c r="M274" s="3"/>
    </row>
    <row r="275" ht="12.75" customHeight="1">
      <c r="E275" s="2"/>
      <c r="F275" s="2"/>
      <c r="G275" s="2"/>
      <c r="H275" s="2"/>
      <c r="I275" s="2"/>
      <c r="J275" s="2"/>
      <c r="K275" s="2"/>
      <c r="L275" s="2"/>
      <c r="M275" s="3"/>
    </row>
    <row r="276" ht="12.75" customHeight="1">
      <c r="E276" s="2"/>
      <c r="F276" s="2"/>
      <c r="G276" s="2"/>
      <c r="H276" s="2"/>
      <c r="I276" s="2"/>
      <c r="J276" s="2"/>
      <c r="K276" s="2"/>
      <c r="L276" s="2"/>
      <c r="M276" s="3"/>
    </row>
    <row r="277" ht="12.75" customHeight="1">
      <c r="E277" s="2"/>
      <c r="F277" s="2"/>
      <c r="G277" s="2"/>
      <c r="H277" s="2"/>
      <c r="I277" s="2"/>
      <c r="J277" s="2"/>
      <c r="K277" s="2"/>
      <c r="L277" s="2"/>
      <c r="M277" s="3"/>
    </row>
    <row r="278" ht="12.75" customHeight="1">
      <c r="E278" s="2"/>
      <c r="F278" s="2"/>
      <c r="G278" s="2"/>
      <c r="H278" s="2"/>
      <c r="I278" s="2"/>
      <c r="J278" s="2"/>
      <c r="K278" s="2"/>
      <c r="L278" s="2"/>
      <c r="M278" s="3"/>
    </row>
    <row r="279" ht="12.75" customHeight="1">
      <c r="E279" s="2"/>
      <c r="F279" s="2"/>
      <c r="G279" s="2"/>
      <c r="H279" s="2"/>
      <c r="I279" s="2"/>
      <c r="J279" s="2"/>
      <c r="K279" s="2"/>
      <c r="L279" s="2"/>
      <c r="M279" s="3"/>
    </row>
    <row r="280" ht="12.75" customHeight="1">
      <c r="E280" s="2"/>
      <c r="F280" s="2"/>
      <c r="G280" s="2"/>
      <c r="H280" s="2"/>
      <c r="I280" s="2"/>
      <c r="J280" s="2"/>
      <c r="K280" s="2"/>
      <c r="L280" s="2"/>
      <c r="M280" s="3"/>
    </row>
    <row r="281" ht="12.75" customHeight="1">
      <c r="E281" s="2"/>
      <c r="F281" s="2"/>
      <c r="G281" s="2"/>
      <c r="H281" s="2"/>
      <c r="I281" s="2"/>
      <c r="J281" s="2"/>
      <c r="K281" s="2"/>
      <c r="L281" s="2"/>
      <c r="M281" s="3"/>
    </row>
    <row r="282" ht="12.75" customHeight="1">
      <c r="E282" s="2"/>
      <c r="F282" s="2"/>
      <c r="G282" s="2"/>
      <c r="H282" s="2"/>
      <c r="I282" s="2"/>
      <c r="J282" s="2"/>
      <c r="K282" s="2"/>
      <c r="L282" s="2"/>
      <c r="M282" s="3"/>
    </row>
    <row r="283" ht="12.75" customHeight="1">
      <c r="E283" s="2"/>
      <c r="F283" s="2"/>
      <c r="G283" s="2"/>
      <c r="H283" s="2"/>
      <c r="I283" s="2"/>
      <c r="J283" s="2"/>
      <c r="K283" s="2"/>
      <c r="L283" s="2"/>
      <c r="M283" s="3"/>
    </row>
    <row r="284" ht="12.75" customHeight="1">
      <c r="E284" s="2"/>
      <c r="F284" s="2"/>
      <c r="G284" s="2"/>
      <c r="H284" s="2"/>
      <c r="I284" s="2"/>
      <c r="J284" s="2"/>
      <c r="K284" s="2"/>
      <c r="L284" s="2"/>
      <c r="M284" s="3"/>
    </row>
    <row r="285" ht="12.75" customHeight="1">
      <c r="E285" s="2"/>
      <c r="F285" s="2"/>
      <c r="G285" s="2"/>
      <c r="H285" s="2"/>
      <c r="I285" s="2"/>
      <c r="J285" s="2"/>
      <c r="K285" s="2"/>
      <c r="L285" s="2"/>
      <c r="M285" s="3"/>
    </row>
    <row r="286" ht="12.75" customHeight="1">
      <c r="E286" s="2"/>
      <c r="F286" s="2"/>
      <c r="G286" s="2"/>
      <c r="H286" s="2"/>
      <c r="I286" s="2"/>
      <c r="J286" s="2"/>
      <c r="K286" s="2"/>
      <c r="L286" s="2"/>
      <c r="M286" s="3"/>
    </row>
    <row r="287" ht="12.75" customHeight="1">
      <c r="E287" s="2"/>
      <c r="F287" s="2"/>
      <c r="G287" s="2"/>
      <c r="H287" s="2"/>
      <c r="I287" s="2"/>
      <c r="J287" s="2"/>
      <c r="K287" s="2"/>
      <c r="L287" s="2"/>
      <c r="M287" s="3"/>
    </row>
    <row r="288" ht="12.75" customHeight="1">
      <c r="E288" s="2"/>
      <c r="F288" s="2"/>
      <c r="G288" s="2"/>
      <c r="H288" s="2"/>
      <c r="I288" s="2"/>
      <c r="J288" s="2"/>
      <c r="K288" s="2"/>
      <c r="L288" s="2"/>
      <c r="M288" s="3"/>
    </row>
    <row r="289" ht="12.75" customHeight="1">
      <c r="E289" s="2"/>
      <c r="F289" s="2"/>
      <c r="G289" s="2"/>
      <c r="H289" s="2"/>
      <c r="I289" s="2"/>
      <c r="J289" s="2"/>
      <c r="K289" s="2"/>
      <c r="L289" s="2"/>
      <c r="M289" s="3"/>
    </row>
    <row r="290" ht="12.75" customHeight="1">
      <c r="E290" s="2"/>
      <c r="F290" s="2"/>
      <c r="G290" s="2"/>
      <c r="H290" s="2"/>
      <c r="I290" s="2"/>
      <c r="J290" s="2"/>
      <c r="K290" s="2"/>
      <c r="L290" s="2"/>
      <c r="M290" s="3"/>
    </row>
    <row r="291" ht="12.75" customHeight="1">
      <c r="E291" s="2"/>
      <c r="F291" s="2"/>
      <c r="G291" s="2"/>
      <c r="H291" s="2"/>
      <c r="I291" s="2"/>
      <c r="J291" s="2"/>
      <c r="K291" s="2"/>
      <c r="L291" s="2"/>
      <c r="M291" s="3"/>
    </row>
    <row r="292" ht="12.75" customHeight="1">
      <c r="E292" s="2"/>
      <c r="F292" s="2"/>
      <c r="G292" s="2"/>
      <c r="H292" s="2"/>
      <c r="I292" s="2"/>
      <c r="J292" s="2"/>
      <c r="K292" s="2"/>
      <c r="L292" s="2"/>
      <c r="M292" s="3"/>
    </row>
    <row r="293" ht="12.75" customHeight="1">
      <c r="E293" s="2"/>
      <c r="F293" s="2"/>
      <c r="G293" s="2"/>
      <c r="H293" s="2"/>
      <c r="I293" s="2"/>
      <c r="J293" s="2"/>
      <c r="K293" s="2"/>
      <c r="L293" s="2"/>
      <c r="M293" s="3"/>
    </row>
    <row r="294" ht="12.75" customHeight="1">
      <c r="E294" s="2"/>
      <c r="F294" s="2"/>
      <c r="G294" s="2"/>
      <c r="H294" s="2"/>
      <c r="I294" s="2"/>
      <c r="J294" s="2"/>
      <c r="K294" s="2"/>
      <c r="L294" s="2"/>
      <c r="M294" s="3"/>
    </row>
    <row r="295" ht="12.75" customHeight="1">
      <c r="E295" s="2"/>
      <c r="F295" s="2"/>
      <c r="G295" s="2"/>
      <c r="H295" s="2"/>
      <c r="I295" s="2"/>
      <c r="J295" s="2"/>
      <c r="K295" s="2"/>
      <c r="L295" s="2"/>
      <c r="M295" s="3"/>
    </row>
    <row r="296" ht="12.75" customHeight="1">
      <c r="E296" s="2"/>
      <c r="F296" s="2"/>
      <c r="G296" s="2"/>
      <c r="H296" s="2"/>
      <c r="I296" s="2"/>
      <c r="J296" s="2"/>
      <c r="K296" s="2"/>
      <c r="L296" s="2"/>
      <c r="M296" s="3"/>
    </row>
    <row r="297" ht="12.75" customHeight="1">
      <c r="E297" s="2"/>
      <c r="F297" s="2"/>
      <c r="G297" s="2"/>
      <c r="H297" s="2"/>
      <c r="I297" s="2"/>
      <c r="J297" s="2"/>
      <c r="K297" s="2"/>
      <c r="L297" s="2"/>
      <c r="M297" s="3"/>
    </row>
    <row r="298" ht="12.75" customHeight="1">
      <c r="E298" s="2"/>
      <c r="F298" s="2"/>
      <c r="G298" s="2"/>
      <c r="H298" s="2"/>
      <c r="I298" s="2"/>
      <c r="J298" s="2"/>
      <c r="K298" s="2"/>
      <c r="L298" s="2"/>
      <c r="M298" s="3"/>
    </row>
    <row r="299" ht="12.75" customHeight="1">
      <c r="E299" s="2"/>
      <c r="F299" s="2"/>
      <c r="G299" s="2"/>
      <c r="H299" s="2"/>
      <c r="I299" s="2"/>
      <c r="J299" s="2"/>
      <c r="K299" s="2"/>
      <c r="L299" s="2"/>
      <c r="M299" s="3"/>
    </row>
    <row r="300" ht="12.75" customHeight="1">
      <c r="E300" s="2"/>
      <c r="F300" s="2"/>
      <c r="G300" s="2"/>
      <c r="H300" s="2"/>
      <c r="I300" s="2"/>
      <c r="J300" s="2"/>
      <c r="K300" s="2"/>
      <c r="L300" s="2"/>
      <c r="M300" s="3"/>
    </row>
    <row r="301" ht="12.75" customHeight="1">
      <c r="E301" s="2"/>
      <c r="F301" s="2"/>
      <c r="G301" s="2"/>
      <c r="H301" s="2"/>
      <c r="I301" s="2"/>
      <c r="J301" s="2"/>
      <c r="K301" s="2"/>
      <c r="L301" s="2"/>
      <c r="M301" s="3"/>
    </row>
    <row r="302" ht="12.75" customHeight="1">
      <c r="E302" s="2"/>
      <c r="F302" s="2"/>
      <c r="G302" s="2"/>
      <c r="H302" s="2"/>
      <c r="I302" s="2"/>
      <c r="J302" s="2"/>
      <c r="K302" s="2"/>
      <c r="L302" s="2"/>
      <c r="M302" s="3"/>
    </row>
    <row r="303" ht="12.75" customHeight="1">
      <c r="E303" s="2"/>
      <c r="F303" s="2"/>
      <c r="G303" s="2"/>
      <c r="H303" s="2"/>
      <c r="I303" s="2"/>
      <c r="J303" s="2"/>
      <c r="K303" s="2"/>
      <c r="L303" s="2"/>
      <c r="M303" s="3"/>
    </row>
    <row r="304" ht="12.75" customHeight="1">
      <c r="E304" s="2"/>
      <c r="F304" s="2"/>
      <c r="G304" s="2"/>
      <c r="H304" s="2"/>
      <c r="I304" s="2"/>
      <c r="J304" s="2"/>
      <c r="K304" s="2"/>
      <c r="L304" s="2"/>
      <c r="M304" s="3"/>
    </row>
    <row r="305" ht="12.75" customHeight="1">
      <c r="E305" s="2"/>
      <c r="F305" s="2"/>
      <c r="G305" s="2"/>
      <c r="H305" s="2"/>
      <c r="I305" s="2"/>
      <c r="J305" s="2"/>
      <c r="K305" s="2"/>
      <c r="L305" s="2"/>
      <c r="M305" s="3"/>
    </row>
    <row r="306" ht="12.75" customHeight="1">
      <c r="E306" s="2"/>
      <c r="F306" s="2"/>
      <c r="G306" s="2"/>
      <c r="H306" s="2"/>
      <c r="I306" s="2"/>
      <c r="J306" s="2"/>
      <c r="K306" s="2"/>
      <c r="L306" s="2"/>
      <c r="M306" s="3"/>
    </row>
    <row r="307" ht="12.75" customHeight="1">
      <c r="E307" s="2"/>
      <c r="F307" s="2"/>
      <c r="G307" s="2"/>
      <c r="H307" s="2"/>
      <c r="I307" s="2"/>
      <c r="J307" s="2"/>
      <c r="K307" s="2"/>
      <c r="L307" s="2"/>
      <c r="M307" s="3"/>
    </row>
    <row r="308" ht="12.75" customHeight="1">
      <c r="E308" s="2"/>
      <c r="F308" s="2"/>
      <c r="G308" s="2"/>
      <c r="H308" s="2"/>
      <c r="I308" s="2"/>
      <c r="J308" s="2"/>
      <c r="K308" s="2"/>
      <c r="L308" s="2"/>
      <c r="M308" s="3"/>
    </row>
    <row r="309" ht="12.75" customHeight="1">
      <c r="E309" s="2"/>
      <c r="F309" s="2"/>
      <c r="G309" s="2"/>
      <c r="H309" s="2"/>
      <c r="I309" s="2"/>
      <c r="J309" s="2"/>
      <c r="K309" s="2"/>
      <c r="L309" s="2"/>
      <c r="M309" s="3"/>
    </row>
    <row r="310" ht="12.75" customHeight="1">
      <c r="E310" s="2"/>
      <c r="F310" s="2"/>
      <c r="G310" s="2"/>
      <c r="H310" s="2"/>
      <c r="I310" s="2"/>
      <c r="J310" s="2"/>
      <c r="K310" s="2"/>
      <c r="L310" s="2"/>
      <c r="M310" s="3"/>
    </row>
    <row r="311" ht="12.75" customHeight="1">
      <c r="E311" s="2"/>
      <c r="F311" s="2"/>
      <c r="G311" s="2"/>
      <c r="H311" s="2"/>
      <c r="I311" s="2"/>
      <c r="J311" s="2"/>
      <c r="K311" s="2"/>
      <c r="L311" s="2"/>
      <c r="M311" s="3"/>
    </row>
    <row r="312" ht="12.75" customHeight="1">
      <c r="E312" s="2"/>
      <c r="F312" s="2"/>
      <c r="G312" s="2"/>
      <c r="H312" s="2"/>
      <c r="I312" s="2"/>
      <c r="J312" s="2"/>
      <c r="K312" s="2"/>
      <c r="L312" s="2"/>
      <c r="M312" s="3"/>
    </row>
    <row r="313" ht="12.75" customHeight="1">
      <c r="E313" s="2"/>
      <c r="F313" s="2"/>
      <c r="G313" s="2"/>
      <c r="H313" s="2"/>
      <c r="I313" s="2"/>
      <c r="J313" s="2"/>
      <c r="K313" s="2"/>
      <c r="L313" s="2"/>
      <c r="M313" s="3"/>
    </row>
    <row r="314" ht="12.75" customHeight="1">
      <c r="E314" s="2"/>
      <c r="F314" s="2"/>
      <c r="G314" s="2"/>
      <c r="H314" s="2"/>
      <c r="I314" s="2"/>
      <c r="J314" s="2"/>
      <c r="K314" s="2"/>
      <c r="L314" s="2"/>
      <c r="M314" s="3"/>
    </row>
    <row r="315" ht="12.75" customHeight="1">
      <c r="E315" s="2"/>
      <c r="F315" s="2"/>
      <c r="G315" s="2"/>
      <c r="H315" s="2"/>
      <c r="I315" s="2"/>
      <c r="J315" s="2"/>
      <c r="K315" s="2"/>
      <c r="L315" s="2"/>
      <c r="M315" s="3"/>
    </row>
    <row r="316" ht="12.75" customHeight="1">
      <c r="E316" s="2"/>
      <c r="F316" s="2"/>
      <c r="G316" s="2"/>
      <c r="H316" s="2"/>
      <c r="I316" s="2"/>
      <c r="J316" s="2"/>
      <c r="K316" s="2"/>
      <c r="L316" s="2"/>
      <c r="M316" s="3"/>
    </row>
    <row r="317" ht="12.75" customHeight="1">
      <c r="E317" s="2"/>
      <c r="F317" s="2"/>
      <c r="G317" s="2"/>
      <c r="H317" s="2"/>
      <c r="I317" s="2"/>
      <c r="J317" s="2"/>
      <c r="K317" s="2"/>
      <c r="L317" s="2"/>
      <c r="M317" s="3"/>
    </row>
    <row r="318" ht="12.75" customHeight="1">
      <c r="E318" s="2"/>
      <c r="F318" s="2"/>
      <c r="G318" s="2"/>
      <c r="H318" s="2"/>
      <c r="I318" s="2"/>
      <c r="J318" s="2"/>
      <c r="K318" s="2"/>
      <c r="L318" s="2"/>
      <c r="M318" s="3"/>
    </row>
    <row r="319" ht="12.75" customHeight="1">
      <c r="E319" s="2"/>
      <c r="F319" s="2"/>
      <c r="G319" s="2"/>
      <c r="H319" s="2"/>
      <c r="I319" s="2"/>
      <c r="J319" s="2"/>
      <c r="K319" s="2"/>
      <c r="L319" s="2"/>
      <c r="M319" s="3"/>
    </row>
    <row r="320" ht="12.75" customHeight="1">
      <c r="E320" s="2"/>
      <c r="F320" s="2"/>
      <c r="G320" s="2"/>
      <c r="H320" s="2"/>
      <c r="I320" s="2"/>
      <c r="J320" s="2"/>
      <c r="K320" s="2"/>
      <c r="L320" s="2"/>
      <c r="M320" s="3"/>
    </row>
    <row r="321" ht="12.75" customHeight="1">
      <c r="E321" s="2"/>
      <c r="F321" s="2"/>
      <c r="G321" s="2"/>
      <c r="H321" s="2"/>
      <c r="I321" s="2"/>
      <c r="J321" s="2"/>
      <c r="K321" s="2"/>
      <c r="L321" s="2"/>
      <c r="M321" s="3"/>
    </row>
    <row r="322" ht="12.75" customHeight="1">
      <c r="E322" s="2"/>
      <c r="F322" s="2"/>
      <c r="G322" s="2"/>
      <c r="H322" s="2"/>
      <c r="I322" s="2"/>
      <c r="J322" s="2"/>
      <c r="K322" s="2"/>
      <c r="L322" s="2"/>
      <c r="M322" s="3"/>
    </row>
    <row r="323" ht="12.75" customHeight="1">
      <c r="E323" s="2"/>
      <c r="F323" s="2"/>
      <c r="G323" s="2"/>
      <c r="H323" s="2"/>
      <c r="I323" s="2"/>
      <c r="J323" s="2"/>
      <c r="K323" s="2"/>
      <c r="L323" s="2"/>
      <c r="M323" s="3"/>
    </row>
    <row r="324" ht="12.75" customHeight="1">
      <c r="E324" s="2"/>
      <c r="F324" s="2"/>
      <c r="G324" s="2"/>
      <c r="H324" s="2"/>
      <c r="I324" s="2"/>
      <c r="J324" s="2"/>
      <c r="K324" s="2"/>
      <c r="L324" s="2"/>
      <c r="M324" s="3"/>
    </row>
    <row r="325" ht="12.75" customHeight="1">
      <c r="E325" s="2"/>
      <c r="F325" s="2"/>
      <c r="G325" s="2"/>
      <c r="H325" s="2"/>
      <c r="I325" s="2"/>
      <c r="J325" s="2"/>
      <c r="K325" s="2"/>
      <c r="L325" s="2"/>
      <c r="M325" s="3"/>
    </row>
    <row r="326" ht="12.75" customHeight="1">
      <c r="E326" s="2"/>
      <c r="F326" s="2"/>
      <c r="G326" s="2"/>
      <c r="H326" s="2"/>
      <c r="I326" s="2"/>
      <c r="J326" s="2"/>
      <c r="K326" s="2"/>
      <c r="L326" s="2"/>
      <c r="M326" s="3"/>
    </row>
    <row r="327" ht="12.75" customHeight="1">
      <c r="E327" s="2"/>
      <c r="F327" s="2"/>
      <c r="G327" s="2"/>
      <c r="H327" s="2"/>
      <c r="I327" s="2"/>
      <c r="J327" s="2"/>
      <c r="K327" s="2"/>
      <c r="L327" s="2"/>
      <c r="M327" s="3"/>
    </row>
    <row r="328" ht="12.75" customHeight="1">
      <c r="E328" s="2"/>
      <c r="F328" s="2"/>
      <c r="G328" s="2"/>
      <c r="H328" s="2"/>
      <c r="I328" s="2"/>
      <c r="J328" s="2"/>
      <c r="K328" s="2"/>
      <c r="L328" s="2"/>
      <c r="M328" s="3"/>
    </row>
    <row r="329" ht="12.75" customHeight="1">
      <c r="E329" s="2"/>
      <c r="F329" s="2"/>
      <c r="G329" s="2"/>
      <c r="H329" s="2"/>
      <c r="I329" s="2"/>
      <c r="J329" s="2"/>
      <c r="K329" s="2"/>
      <c r="L329" s="2"/>
      <c r="M329" s="3"/>
    </row>
    <row r="330" ht="12.75" customHeight="1">
      <c r="E330" s="2"/>
      <c r="F330" s="2"/>
      <c r="G330" s="2"/>
      <c r="H330" s="2"/>
      <c r="I330" s="2"/>
      <c r="J330" s="2"/>
      <c r="K330" s="2"/>
      <c r="L330" s="2"/>
      <c r="M330" s="3"/>
    </row>
    <row r="331" ht="12.75" customHeight="1">
      <c r="E331" s="2"/>
      <c r="F331" s="2"/>
      <c r="G331" s="2"/>
      <c r="H331" s="2"/>
      <c r="I331" s="2"/>
      <c r="J331" s="2"/>
      <c r="K331" s="2"/>
      <c r="L331" s="2"/>
      <c r="M331" s="3"/>
    </row>
    <row r="332" ht="12.75" customHeight="1">
      <c r="E332" s="2"/>
      <c r="F332" s="2"/>
      <c r="G332" s="2"/>
      <c r="H332" s="2"/>
      <c r="I332" s="2"/>
      <c r="J332" s="2"/>
      <c r="K332" s="2"/>
      <c r="L332" s="2"/>
      <c r="M332" s="3"/>
    </row>
    <row r="333" ht="12.75" customHeight="1">
      <c r="E333" s="2"/>
      <c r="F333" s="2"/>
      <c r="G333" s="2"/>
      <c r="H333" s="2"/>
      <c r="I333" s="2"/>
      <c r="J333" s="2"/>
      <c r="K333" s="2"/>
      <c r="L333" s="2"/>
      <c r="M333" s="3"/>
    </row>
    <row r="334" ht="12.75" customHeight="1">
      <c r="E334" s="2"/>
      <c r="F334" s="2"/>
      <c r="G334" s="2"/>
      <c r="H334" s="2"/>
      <c r="I334" s="2"/>
      <c r="J334" s="2"/>
      <c r="K334" s="2"/>
      <c r="L334" s="2"/>
      <c r="M334" s="3"/>
    </row>
    <row r="335" ht="12.75" customHeight="1">
      <c r="E335" s="2"/>
      <c r="F335" s="2"/>
      <c r="G335" s="2"/>
      <c r="H335" s="2"/>
      <c r="I335" s="2"/>
      <c r="J335" s="2"/>
      <c r="K335" s="2"/>
      <c r="L335" s="2"/>
      <c r="M335" s="3"/>
    </row>
    <row r="336" ht="12.75" customHeight="1">
      <c r="E336" s="2"/>
      <c r="F336" s="2"/>
      <c r="G336" s="2"/>
      <c r="H336" s="2"/>
      <c r="I336" s="2"/>
      <c r="J336" s="2"/>
      <c r="K336" s="2"/>
      <c r="L336" s="2"/>
      <c r="M336" s="3"/>
    </row>
    <row r="337" ht="12.75" customHeight="1">
      <c r="E337" s="2"/>
      <c r="F337" s="2"/>
      <c r="G337" s="2"/>
      <c r="H337" s="2"/>
      <c r="I337" s="2"/>
      <c r="J337" s="2"/>
      <c r="K337" s="2"/>
      <c r="L337" s="2"/>
      <c r="M337" s="3"/>
    </row>
    <row r="338" ht="12.75" customHeight="1">
      <c r="E338" s="2"/>
      <c r="F338" s="2"/>
      <c r="G338" s="2"/>
      <c r="H338" s="2"/>
      <c r="I338" s="2"/>
      <c r="J338" s="2"/>
      <c r="K338" s="2"/>
      <c r="L338" s="2"/>
      <c r="M338" s="3"/>
    </row>
    <row r="339" ht="12.75" customHeight="1">
      <c r="E339" s="2"/>
      <c r="F339" s="2"/>
      <c r="G339" s="2"/>
      <c r="H339" s="2"/>
      <c r="I339" s="2"/>
      <c r="J339" s="2"/>
      <c r="K339" s="2"/>
      <c r="L339" s="2"/>
      <c r="M339" s="3"/>
    </row>
    <row r="340" ht="12.75" customHeight="1">
      <c r="E340" s="2"/>
      <c r="F340" s="2"/>
      <c r="G340" s="2"/>
      <c r="H340" s="2"/>
      <c r="I340" s="2"/>
      <c r="J340" s="2"/>
      <c r="K340" s="2"/>
      <c r="L340" s="2"/>
      <c r="M340" s="3"/>
    </row>
    <row r="341" ht="12.75" customHeight="1">
      <c r="E341" s="2"/>
      <c r="F341" s="2"/>
      <c r="G341" s="2"/>
      <c r="H341" s="2"/>
      <c r="I341" s="2"/>
      <c r="J341" s="2"/>
      <c r="K341" s="2"/>
      <c r="L341" s="2"/>
      <c r="M341" s="3"/>
    </row>
    <row r="342" ht="12.75" customHeight="1">
      <c r="E342" s="2"/>
      <c r="F342" s="2"/>
      <c r="G342" s="2"/>
      <c r="H342" s="2"/>
      <c r="I342" s="2"/>
      <c r="J342" s="2"/>
      <c r="K342" s="2"/>
      <c r="L342" s="2"/>
      <c r="M342" s="3"/>
    </row>
    <row r="343" ht="12.75" customHeight="1">
      <c r="E343" s="2"/>
      <c r="F343" s="2"/>
      <c r="G343" s="2"/>
      <c r="H343" s="2"/>
      <c r="I343" s="2"/>
      <c r="J343" s="2"/>
      <c r="K343" s="2"/>
      <c r="L343" s="2"/>
      <c r="M343" s="3"/>
    </row>
    <row r="344" ht="12.75" customHeight="1">
      <c r="E344" s="2"/>
      <c r="F344" s="2"/>
      <c r="G344" s="2"/>
      <c r="H344" s="2"/>
      <c r="I344" s="2"/>
      <c r="J344" s="2"/>
      <c r="K344" s="2"/>
      <c r="L344" s="2"/>
      <c r="M344" s="3"/>
    </row>
    <row r="345" ht="12.75" customHeight="1">
      <c r="E345" s="2"/>
      <c r="F345" s="2"/>
      <c r="G345" s="2"/>
      <c r="H345" s="2"/>
      <c r="I345" s="2"/>
      <c r="J345" s="2"/>
      <c r="K345" s="2"/>
      <c r="L345" s="2"/>
      <c r="M345" s="3"/>
    </row>
    <row r="346" ht="12.75" customHeight="1">
      <c r="E346" s="2"/>
      <c r="F346" s="2"/>
      <c r="G346" s="2"/>
      <c r="H346" s="2"/>
      <c r="I346" s="2"/>
      <c r="J346" s="2"/>
      <c r="K346" s="2"/>
      <c r="L346" s="2"/>
      <c r="M346" s="3"/>
    </row>
    <row r="347" ht="12.75" customHeight="1">
      <c r="E347" s="2"/>
      <c r="F347" s="2"/>
      <c r="G347" s="2"/>
      <c r="H347" s="2"/>
      <c r="I347" s="2"/>
      <c r="J347" s="2"/>
      <c r="K347" s="2"/>
      <c r="L347" s="2"/>
      <c r="M347" s="3"/>
    </row>
    <row r="348" ht="12.75" customHeight="1">
      <c r="E348" s="2"/>
      <c r="F348" s="2"/>
      <c r="G348" s="2"/>
      <c r="H348" s="2"/>
      <c r="I348" s="2"/>
      <c r="J348" s="2"/>
      <c r="K348" s="2"/>
      <c r="L348" s="2"/>
      <c r="M348" s="3"/>
    </row>
    <row r="349" ht="12.75" customHeight="1">
      <c r="E349" s="2"/>
      <c r="F349" s="2"/>
      <c r="G349" s="2"/>
      <c r="H349" s="2"/>
      <c r="I349" s="2"/>
      <c r="J349" s="2"/>
      <c r="K349" s="2"/>
      <c r="L349" s="2"/>
      <c r="M349" s="3"/>
    </row>
    <row r="350" ht="12.75" customHeight="1">
      <c r="E350" s="2"/>
      <c r="F350" s="2"/>
      <c r="G350" s="2"/>
      <c r="H350" s="2"/>
      <c r="I350" s="2"/>
      <c r="J350" s="2"/>
      <c r="K350" s="2"/>
      <c r="L350" s="2"/>
      <c r="M350" s="3"/>
    </row>
    <row r="351" ht="12.75" customHeight="1">
      <c r="E351" s="2"/>
      <c r="F351" s="2"/>
      <c r="G351" s="2"/>
      <c r="H351" s="2"/>
      <c r="I351" s="2"/>
      <c r="J351" s="2"/>
      <c r="K351" s="2"/>
      <c r="L351" s="2"/>
      <c r="M351" s="3"/>
    </row>
    <row r="352" ht="12.75" customHeight="1">
      <c r="E352" s="2"/>
      <c r="F352" s="2"/>
      <c r="G352" s="2"/>
      <c r="H352" s="2"/>
      <c r="I352" s="2"/>
      <c r="J352" s="2"/>
      <c r="K352" s="2"/>
      <c r="L352" s="2"/>
      <c r="M352" s="3"/>
    </row>
    <row r="353" ht="12.75" customHeight="1">
      <c r="E353" s="2"/>
      <c r="F353" s="2"/>
      <c r="G353" s="2"/>
      <c r="H353" s="2"/>
      <c r="I353" s="2"/>
      <c r="J353" s="2"/>
      <c r="K353" s="2"/>
      <c r="L353" s="2"/>
      <c r="M353" s="3"/>
    </row>
    <row r="354" ht="12.75" customHeight="1">
      <c r="E354" s="2"/>
      <c r="F354" s="2"/>
      <c r="G354" s="2"/>
      <c r="H354" s="2"/>
      <c r="I354" s="2"/>
      <c r="J354" s="2"/>
      <c r="K354" s="2"/>
      <c r="L354" s="2"/>
      <c r="M354" s="3"/>
    </row>
    <row r="355" ht="12.75" customHeight="1">
      <c r="E355" s="2"/>
      <c r="F355" s="2"/>
      <c r="G355" s="2"/>
      <c r="H355" s="2"/>
      <c r="I355" s="2"/>
      <c r="J355" s="2"/>
      <c r="K355" s="2"/>
      <c r="L355" s="2"/>
      <c r="M355" s="3"/>
    </row>
    <row r="356" ht="12.75" customHeight="1">
      <c r="E356" s="2"/>
      <c r="F356" s="2"/>
      <c r="G356" s="2"/>
      <c r="H356" s="2"/>
      <c r="I356" s="2"/>
      <c r="J356" s="2"/>
      <c r="K356" s="2"/>
      <c r="L356" s="2"/>
      <c r="M356" s="3"/>
    </row>
    <row r="357" ht="12.75" customHeight="1">
      <c r="E357" s="2"/>
      <c r="F357" s="2"/>
      <c r="G357" s="2"/>
      <c r="H357" s="2"/>
      <c r="I357" s="2"/>
      <c r="J357" s="2"/>
      <c r="K357" s="2"/>
      <c r="L357" s="2"/>
      <c r="M357" s="3"/>
    </row>
    <row r="358" ht="12.75" customHeight="1">
      <c r="E358" s="2"/>
      <c r="F358" s="2"/>
      <c r="G358" s="2"/>
      <c r="H358" s="2"/>
      <c r="I358" s="2"/>
      <c r="J358" s="2"/>
      <c r="K358" s="2"/>
      <c r="L358" s="2"/>
      <c r="M358" s="3"/>
    </row>
    <row r="359" ht="12.75" customHeight="1">
      <c r="E359" s="2"/>
      <c r="F359" s="2"/>
      <c r="G359" s="2"/>
      <c r="H359" s="2"/>
      <c r="I359" s="2"/>
      <c r="J359" s="2"/>
      <c r="K359" s="2"/>
      <c r="L359" s="2"/>
      <c r="M359" s="3"/>
    </row>
    <row r="360" ht="12.75" customHeight="1">
      <c r="E360" s="2"/>
      <c r="F360" s="2"/>
      <c r="G360" s="2"/>
      <c r="H360" s="2"/>
      <c r="I360" s="2"/>
      <c r="J360" s="2"/>
      <c r="K360" s="2"/>
      <c r="L360" s="2"/>
      <c r="M360" s="3"/>
    </row>
    <row r="361" ht="12.75" customHeight="1">
      <c r="E361" s="2"/>
      <c r="F361" s="2"/>
      <c r="G361" s="2"/>
      <c r="H361" s="2"/>
      <c r="I361" s="2"/>
      <c r="J361" s="2"/>
      <c r="K361" s="2"/>
      <c r="L361" s="2"/>
      <c r="M361" s="3"/>
    </row>
    <row r="362" ht="12.75" customHeight="1">
      <c r="E362" s="2"/>
      <c r="F362" s="2"/>
      <c r="G362" s="2"/>
      <c r="H362" s="2"/>
      <c r="I362" s="2"/>
      <c r="J362" s="2"/>
      <c r="K362" s="2"/>
      <c r="L362" s="2"/>
      <c r="M362" s="3"/>
    </row>
    <row r="363" ht="12.75" customHeight="1">
      <c r="E363" s="2"/>
      <c r="F363" s="2"/>
      <c r="G363" s="2"/>
      <c r="H363" s="2"/>
      <c r="I363" s="2"/>
      <c r="J363" s="2"/>
      <c r="K363" s="2"/>
      <c r="L363" s="2"/>
      <c r="M363" s="3"/>
    </row>
    <row r="364" ht="12.75" customHeight="1">
      <c r="E364" s="2"/>
      <c r="F364" s="2"/>
      <c r="G364" s="2"/>
      <c r="H364" s="2"/>
      <c r="I364" s="2"/>
      <c r="J364" s="2"/>
      <c r="K364" s="2"/>
      <c r="L364" s="2"/>
      <c r="M364" s="3"/>
    </row>
    <row r="365" ht="12.75" customHeight="1">
      <c r="E365" s="2"/>
      <c r="F365" s="2"/>
      <c r="G365" s="2"/>
      <c r="H365" s="2"/>
      <c r="I365" s="2"/>
      <c r="J365" s="2"/>
      <c r="K365" s="2"/>
      <c r="L365" s="2"/>
      <c r="M365" s="3"/>
    </row>
    <row r="366" ht="12.75" customHeight="1">
      <c r="E366" s="2"/>
      <c r="F366" s="2"/>
      <c r="G366" s="2"/>
      <c r="H366" s="2"/>
      <c r="I366" s="2"/>
      <c r="J366" s="2"/>
      <c r="K366" s="2"/>
      <c r="L366" s="2"/>
      <c r="M366" s="3"/>
    </row>
    <row r="367" ht="12.75" customHeight="1">
      <c r="E367" s="2"/>
      <c r="F367" s="2"/>
      <c r="G367" s="2"/>
      <c r="H367" s="2"/>
      <c r="I367" s="2"/>
      <c r="J367" s="2"/>
      <c r="K367" s="2"/>
      <c r="L367" s="2"/>
      <c r="M367" s="3"/>
    </row>
    <row r="368" ht="12.75" customHeight="1">
      <c r="E368" s="2"/>
      <c r="F368" s="2"/>
      <c r="G368" s="2"/>
      <c r="H368" s="2"/>
      <c r="I368" s="2"/>
      <c r="J368" s="2"/>
      <c r="K368" s="2"/>
      <c r="L368" s="2"/>
      <c r="M368" s="3"/>
    </row>
    <row r="369" ht="12.75" customHeight="1">
      <c r="E369" s="2"/>
      <c r="F369" s="2"/>
      <c r="G369" s="2"/>
      <c r="H369" s="2"/>
      <c r="I369" s="2"/>
      <c r="J369" s="2"/>
      <c r="K369" s="2"/>
      <c r="L369" s="2"/>
      <c r="M369" s="3"/>
    </row>
    <row r="370" ht="12.75" customHeight="1">
      <c r="E370" s="2"/>
      <c r="F370" s="2"/>
      <c r="G370" s="2"/>
      <c r="H370" s="2"/>
      <c r="I370" s="2"/>
      <c r="J370" s="2"/>
      <c r="K370" s="2"/>
      <c r="L370" s="2"/>
      <c r="M370" s="3"/>
    </row>
    <row r="371" ht="12.75" customHeight="1">
      <c r="E371" s="2"/>
      <c r="F371" s="2"/>
      <c r="G371" s="2"/>
      <c r="H371" s="2"/>
      <c r="I371" s="2"/>
      <c r="J371" s="2"/>
      <c r="K371" s="2"/>
      <c r="L371" s="2"/>
      <c r="M371" s="3"/>
    </row>
    <row r="372" ht="12.75" customHeight="1">
      <c r="E372" s="2"/>
      <c r="F372" s="2"/>
      <c r="G372" s="2"/>
      <c r="H372" s="2"/>
      <c r="I372" s="2"/>
      <c r="J372" s="2"/>
      <c r="K372" s="2"/>
      <c r="L372" s="2"/>
      <c r="M372" s="3"/>
    </row>
    <row r="373" ht="12.75" customHeight="1">
      <c r="E373" s="2"/>
      <c r="F373" s="2"/>
      <c r="G373" s="2"/>
      <c r="H373" s="2"/>
      <c r="I373" s="2"/>
      <c r="J373" s="2"/>
      <c r="K373" s="2"/>
      <c r="L373" s="2"/>
      <c r="M373" s="3"/>
    </row>
    <row r="374" ht="12.75" customHeight="1">
      <c r="E374" s="2"/>
      <c r="F374" s="2"/>
      <c r="G374" s="2"/>
      <c r="H374" s="2"/>
      <c r="I374" s="2"/>
      <c r="J374" s="2"/>
      <c r="K374" s="2"/>
      <c r="L374" s="2"/>
      <c r="M374" s="3"/>
    </row>
    <row r="375" ht="12.75" customHeight="1">
      <c r="E375" s="2"/>
      <c r="F375" s="2"/>
      <c r="G375" s="2"/>
      <c r="H375" s="2"/>
      <c r="I375" s="2"/>
      <c r="J375" s="2"/>
      <c r="K375" s="2"/>
      <c r="L375" s="2"/>
      <c r="M375" s="3"/>
    </row>
    <row r="376" ht="12.75" customHeight="1">
      <c r="E376" s="2"/>
      <c r="F376" s="2"/>
      <c r="G376" s="2"/>
      <c r="H376" s="2"/>
      <c r="I376" s="2"/>
      <c r="J376" s="2"/>
      <c r="K376" s="2"/>
      <c r="L376" s="2"/>
      <c r="M376" s="3"/>
    </row>
    <row r="377" ht="12.75" customHeight="1">
      <c r="E377" s="2"/>
      <c r="F377" s="2"/>
      <c r="G377" s="2"/>
      <c r="H377" s="2"/>
      <c r="I377" s="2"/>
      <c r="J377" s="2"/>
      <c r="K377" s="2"/>
      <c r="L377" s="2"/>
      <c r="M377" s="3"/>
    </row>
    <row r="378" ht="12.75" customHeight="1">
      <c r="E378" s="2"/>
      <c r="F378" s="2"/>
      <c r="G378" s="2"/>
      <c r="H378" s="2"/>
      <c r="I378" s="2"/>
      <c r="J378" s="2"/>
      <c r="K378" s="2"/>
      <c r="L378" s="2"/>
      <c r="M378" s="3"/>
    </row>
    <row r="379" ht="12.75" customHeight="1">
      <c r="E379" s="2"/>
      <c r="F379" s="2"/>
      <c r="G379" s="2"/>
      <c r="H379" s="2"/>
      <c r="I379" s="2"/>
      <c r="J379" s="2"/>
      <c r="K379" s="2"/>
      <c r="L379" s="2"/>
      <c r="M379" s="3"/>
    </row>
    <row r="380" ht="12.75" customHeight="1">
      <c r="E380" s="2"/>
      <c r="F380" s="2"/>
      <c r="G380" s="2"/>
      <c r="H380" s="2"/>
      <c r="I380" s="2"/>
      <c r="J380" s="2"/>
      <c r="K380" s="2"/>
      <c r="L380" s="2"/>
      <c r="M380" s="3"/>
    </row>
    <row r="381" ht="12.75" customHeight="1">
      <c r="E381" s="2"/>
      <c r="F381" s="2"/>
      <c r="G381" s="2"/>
      <c r="H381" s="2"/>
      <c r="I381" s="2"/>
      <c r="J381" s="2"/>
      <c r="K381" s="2"/>
      <c r="L381" s="2"/>
      <c r="M381" s="3"/>
    </row>
    <row r="382" ht="12.75" customHeight="1">
      <c r="E382" s="2"/>
      <c r="F382" s="2"/>
      <c r="G382" s="2"/>
      <c r="H382" s="2"/>
      <c r="I382" s="2"/>
      <c r="J382" s="2"/>
      <c r="K382" s="2"/>
      <c r="L382" s="2"/>
      <c r="M382" s="3"/>
    </row>
    <row r="383" ht="12.75" customHeight="1">
      <c r="E383" s="2"/>
      <c r="F383" s="2"/>
      <c r="G383" s="2"/>
      <c r="H383" s="2"/>
      <c r="I383" s="2"/>
      <c r="J383" s="2"/>
      <c r="K383" s="2"/>
      <c r="L383" s="2"/>
      <c r="M383" s="3"/>
    </row>
    <row r="384" ht="12.75" customHeight="1">
      <c r="E384" s="2"/>
      <c r="F384" s="2"/>
      <c r="G384" s="2"/>
      <c r="H384" s="2"/>
      <c r="I384" s="2"/>
      <c r="J384" s="2"/>
      <c r="K384" s="2"/>
      <c r="L384" s="2"/>
      <c r="M384" s="3"/>
    </row>
    <row r="385" ht="12.75" customHeight="1">
      <c r="E385" s="2"/>
      <c r="F385" s="2"/>
      <c r="G385" s="2"/>
      <c r="H385" s="2"/>
      <c r="I385" s="2"/>
      <c r="J385" s="2"/>
      <c r="K385" s="2"/>
      <c r="L385" s="2"/>
      <c r="M385" s="3"/>
    </row>
    <row r="386" ht="12.75" customHeight="1">
      <c r="E386" s="2"/>
      <c r="F386" s="2"/>
      <c r="G386" s="2"/>
      <c r="H386" s="2"/>
      <c r="I386" s="2"/>
      <c r="J386" s="2"/>
      <c r="K386" s="2"/>
      <c r="L386" s="2"/>
      <c r="M386" s="3"/>
    </row>
    <row r="387" ht="12.75" customHeight="1">
      <c r="E387" s="2"/>
      <c r="F387" s="2"/>
      <c r="G387" s="2"/>
      <c r="H387" s="2"/>
      <c r="I387" s="2"/>
      <c r="J387" s="2"/>
      <c r="K387" s="2"/>
      <c r="L387" s="2"/>
      <c r="M387" s="3"/>
    </row>
    <row r="388" ht="12.75" customHeight="1">
      <c r="E388" s="2"/>
      <c r="F388" s="2"/>
      <c r="G388" s="2"/>
      <c r="H388" s="2"/>
      <c r="I388" s="2"/>
      <c r="J388" s="2"/>
      <c r="K388" s="2"/>
      <c r="L388" s="2"/>
      <c r="M388" s="3"/>
    </row>
    <row r="389" ht="12.75" customHeight="1">
      <c r="E389" s="2"/>
      <c r="F389" s="2"/>
      <c r="G389" s="2"/>
      <c r="H389" s="2"/>
      <c r="I389" s="2"/>
      <c r="J389" s="2"/>
      <c r="K389" s="2"/>
      <c r="L389" s="2"/>
      <c r="M389" s="3"/>
    </row>
    <row r="390" ht="12.75" customHeight="1">
      <c r="E390" s="2"/>
      <c r="F390" s="2"/>
      <c r="G390" s="2"/>
      <c r="H390" s="2"/>
      <c r="I390" s="2"/>
      <c r="J390" s="2"/>
      <c r="K390" s="2"/>
      <c r="L390" s="2"/>
      <c r="M390" s="3"/>
    </row>
    <row r="391" ht="12.75" customHeight="1">
      <c r="E391" s="2"/>
      <c r="F391" s="2"/>
      <c r="G391" s="2"/>
      <c r="H391" s="2"/>
      <c r="I391" s="2"/>
      <c r="J391" s="2"/>
      <c r="K391" s="2"/>
      <c r="L391" s="2"/>
      <c r="M391" s="3"/>
    </row>
    <row r="392" ht="12.75" customHeight="1">
      <c r="E392" s="2"/>
      <c r="F392" s="2"/>
      <c r="G392" s="2"/>
      <c r="H392" s="2"/>
      <c r="I392" s="2"/>
      <c r="J392" s="2"/>
      <c r="K392" s="2"/>
      <c r="L392" s="2"/>
      <c r="M392" s="3"/>
    </row>
    <row r="393" ht="12.75" customHeight="1">
      <c r="E393" s="2"/>
      <c r="F393" s="2"/>
      <c r="G393" s="2"/>
      <c r="H393" s="2"/>
      <c r="I393" s="2"/>
      <c r="J393" s="2"/>
      <c r="K393" s="2"/>
      <c r="L393" s="2"/>
      <c r="M393" s="3"/>
    </row>
    <row r="394" ht="12.75" customHeight="1">
      <c r="E394" s="2"/>
      <c r="F394" s="2"/>
      <c r="G394" s="2"/>
      <c r="H394" s="2"/>
      <c r="I394" s="2"/>
      <c r="J394" s="2"/>
      <c r="K394" s="2"/>
      <c r="L394" s="2"/>
      <c r="M394" s="3"/>
    </row>
    <row r="395" ht="12.75" customHeight="1">
      <c r="E395" s="2"/>
      <c r="F395" s="2"/>
      <c r="G395" s="2"/>
      <c r="H395" s="2"/>
      <c r="I395" s="2"/>
      <c r="J395" s="2"/>
      <c r="K395" s="2"/>
      <c r="L395" s="2"/>
      <c r="M395" s="3"/>
    </row>
    <row r="396" ht="12.75" customHeight="1">
      <c r="E396" s="2"/>
      <c r="F396" s="2"/>
      <c r="G396" s="2"/>
      <c r="H396" s="2"/>
      <c r="I396" s="2"/>
      <c r="J396" s="2"/>
      <c r="K396" s="2"/>
      <c r="L396" s="2"/>
      <c r="M396" s="3"/>
    </row>
    <row r="397" ht="12.75" customHeight="1">
      <c r="E397" s="2"/>
      <c r="F397" s="2"/>
      <c r="G397" s="2"/>
      <c r="H397" s="2"/>
      <c r="I397" s="2"/>
      <c r="J397" s="2"/>
      <c r="K397" s="2"/>
      <c r="L397" s="2"/>
      <c r="M397" s="3"/>
    </row>
    <row r="398" ht="12.75" customHeight="1">
      <c r="E398" s="2"/>
      <c r="F398" s="2"/>
      <c r="G398" s="2"/>
      <c r="H398" s="2"/>
      <c r="I398" s="2"/>
      <c r="J398" s="2"/>
      <c r="K398" s="2"/>
      <c r="L398" s="2"/>
      <c r="M398" s="3"/>
    </row>
    <row r="399" ht="12.75" customHeight="1">
      <c r="E399" s="2"/>
      <c r="F399" s="2"/>
      <c r="G399" s="2"/>
      <c r="H399" s="2"/>
      <c r="I399" s="2"/>
      <c r="J399" s="2"/>
      <c r="K399" s="2"/>
      <c r="L399" s="2"/>
      <c r="M399" s="3"/>
    </row>
    <row r="400" ht="12.75" customHeight="1">
      <c r="E400" s="2"/>
      <c r="F400" s="2"/>
      <c r="G400" s="2"/>
      <c r="H400" s="2"/>
      <c r="I400" s="2"/>
      <c r="J400" s="2"/>
      <c r="K400" s="2"/>
      <c r="L400" s="2"/>
      <c r="M400" s="3"/>
    </row>
    <row r="401" ht="12.75" customHeight="1">
      <c r="E401" s="2"/>
      <c r="F401" s="2"/>
      <c r="G401" s="2"/>
      <c r="H401" s="2"/>
      <c r="I401" s="2"/>
      <c r="J401" s="2"/>
      <c r="K401" s="2"/>
      <c r="L401" s="2"/>
      <c r="M401" s="3"/>
    </row>
    <row r="402" ht="12.75" customHeight="1">
      <c r="E402" s="2"/>
      <c r="F402" s="2"/>
      <c r="G402" s="2"/>
      <c r="H402" s="2"/>
      <c r="I402" s="2"/>
      <c r="J402" s="2"/>
      <c r="K402" s="2"/>
      <c r="L402" s="2"/>
      <c r="M402" s="3"/>
    </row>
    <row r="403" ht="12.75" customHeight="1">
      <c r="E403" s="2"/>
      <c r="F403" s="2"/>
      <c r="G403" s="2"/>
      <c r="H403" s="2"/>
      <c r="I403" s="2"/>
      <c r="J403" s="2"/>
      <c r="K403" s="2"/>
      <c r="L403" s="2"/>
      <c r="M403" s="3"/>
    </row>
    <row r="404" ht="12.75" customHeight="1">
      <c r="E404" s="2"/>
      <c r="F404" s="2"/>
      <c r="G404" s="2"/>
      <c r="H404" s="2"/>
      <c r="I404" s="2"/>
      <c r="J404" s="2"/>
      <c r="K404" s="2"/>
      <c r="L404" s="2"/>
      <c r="M404" s="3"/>
    </row>
    <row r="405" ht="12.75" customHeight="1">
      <c r="E405" s="2"/>
      <c r="F405" s="2"/>
      <c r="G405" s="2"/>
      <c r="H405" s="2"/>
      <c r="I405" s="2"/>
      <c r="J405" s="2"/>
      <c r="K405" s="2"/>
      <c r="L405" s="2"/>
      <c r="M405" s="3"/>
    </row>
    <row r="406" ht="12.75" customHeight="1">
      <c r="E406" s="2"/>
      <c r="F406" s="2"/>
      <c r="G406" s="2"/>
      <c r="H406" s="2"/>
      <c r="I406" s="2"/>
      <c r="J406" s="2"/>
      <c r="K406" s="2"/>
      <c r="L406" s="2"/>
      <c r="M406" s="3"/>
    </row>
    <row r="407" ht="12.75" customHeight="1">
      <c r="E407" s="2"/>
      <c r="F407" s="2"/>
      <c r="G407" s="2"/>
      <c r="H407" s="2"/>
      <c r="I407" s="2"/>
      <c r="J407" s="2"/>
      <c r="K407" s="2"/>
      <c r="L407" s="2"/>
      <c r="M407" s="3"/>
    </row>
    <row r="408" ht="12.75" customHeight="1">
      <c r="E408" s="2"/>
      <c r="F408" s="2"/>
      <c r="G408" s="2"/>
      <c r="H408" s="2"/>
      <c r="I408" s="2"/>
      <c r="J408" s="2"/>
      <c r="K408" s="2"/>
      <c r="L408" s="2"/>
      <c r="M408" s="3"/>
    </row>
    <row r="409" ht="12.75" customHeight="1">
      <c r="E409" s="2"/>
      <c r="F409" s="2"/>
      <c r="G409" s="2"/>
      <c r="H409" s="2"/>
      <c r="I409" s="2"/>
      <c r="J409" s="2"/>
      <c r="K409" s="2"/>
      <c r="L409" s="2"/>
      <c r="M409" s="3"/>
    </row>
    <row r="410" ht="12.75" customHeight="1">
      <c r="E410" s="2"/>
      <c r="F410" s="2"/>
      <c r="G410" s="2"/>
      <c r="H410" s="2"/>
      <c r="I410" s="2"/>
      <c r="J410" s="2"/>
      <c r="K410" s="2"/>
      <c r="L410" s="2"/>
      <c r="M410" s="3"/>
    </row>
    <row r="411" ht="12.75" customHeight="1">
      <c r="E411" s="2"/>
      <c r="F411" s="2"/>
      <c r="G411" s="2"/>
      <c r="H411" s="2"/>
      <c r="I411" s="2"/>
      <c r="J411" s="2"/>
      <c r="K411" s="2"/>
      <c r="L411" s="2"/>
      <c r="M411" s="3"/>
    </row>
    <row r="412" ht="12.75" customHeight="1">
      <c r="E412" s="2"/>
      <c r="F412" s="2"/>
      <c r="G412" s="2"/>
      <c r="H412" s="2"/>
      <c r="I412" s="2"/>
      <c r="J412" s="2"/>
      <c r="K412" s="2"/>
      <c r="L412" s="2"/>
      <c r="M412" s="3"/>
    </row>
    <row r="413" ht="12.75" customHeight="1">
      <c r="E413" s="2"/>
      <c r="F413" s="2"/>
      <c r="G413" s="2"/>
      <c r="H413" s="2"/>
      <c r="I413" s="2"/>
      <c r="J413" s="2"/>
      <c r="K413" s="2"/>
      <c r="L413" s="2"/>
      <c r="M413" s="3"/>
    </row>
    <row r="414" ht="12.75" customHeight="1">
      <c r="E414" s="2"/>
      <c r="F414" s="2"/>
      <c r="G414" s="2"/>
      <c r="H414" s="2"/>
      <c r="I414" s="2"/>
      <c r="J414" s="2"/>
      <c r="K414" s="2"/>
      <c r="L414" s="2"/>
      <c r="M414" s="3"/>
    </row>
    <row r="415" ht="12.75" customHeight="1">
      <c r="E415" s="2"/>
      <c r="F415" s="2"/>
      <c r="G415" s="2"/>
      <c r="H415" s="2"/>
      <c r="I415" s="2"/>
      <c r="J415" s="2"/>
      <c r="K415" s="2"/>
      <c r="L415" s="2"/>
      <c r="M415" s="3"/>
    </row>
    <row r="416" ht="12.75" customHeight="1">
      <c r="E416" s="2"/>
      <c r="F416" s="2"/>
      <c r="G416" s="2"/>
      <c r="H416" s="2"/>
      <c r="I416" s="2"/>
      <c r="J416" s="2"/>
      <c r="K416" s="2"/>
      <c r="L416" s="2"/>
      <c r="M416" s="3"/>
    </row>
    <row r="417" ht="12.75" customHeight="1">
      <c r="E417" s="2"/>
      <c r="F417" s="2"/>
      <c r="G417" s="2"/>
      <c r="H417" s="2"/>
      <c r="I417" s="2"/>
      <c r="J417" s="2"/>
      <c r="K417" s="2"/>
      <c r="L417" s="2"/>
      <c r="M417" s="3"/>
    </row>
    <row r="418" ht="12.75" customHeight="1">
      <c r="E418" s="2"/>
      <c r="F418" s="2"/>
      <c r="G418" s="2"/>
      <c r="H418" s="2"/>
      <c r="I418" s="2"/>
      <c r="J418" s="2"/>
      <c r="K418" s="2"/>
      <c r="L418" s="2"/>
      <c r="M418" s="3"/>
    </row>
    <row r="419" ht="12.75" customHeight="1">
      <c r="E419" s="2"/>
      <c r="F419" s="2"/>
      <c r="G419" s="2"/>
      <c r="H419" s="2"/>
      <c r="I419" s="2"/>
      <c r="J419" s="2"/>
      <c r="K419" s="2"/>
      <c r="L419" s="2"/>
      <c r="M419" s="3"/>
    </row>
    <row r="420" ht="12.75" customHeight="1">
      <c r="E420" s="2"/>
      <c r="F420" s="2"/>
      <c r="G420" s="2"/>
      <c r="H420" s="2"/>
      <c r="I420" s="2"/>
      <c r="J420" s="2"/>
      <c r="K420" s="2"/>
      <c r="L420" s="2"/>
      <c r="M420" s="3"/>
    </row>
    <row r="421" ht="12.75" customHeight="1">
      <c r="E421" s="2"/>
      <c r="F421" s="2"/>
      <c r="G421" s="2"/>
      <c r="H421" s="2"/>
      <c r="I421" s="2"/>
      <c r="J421" s="2"/>
      <c r="K421" s="2"/>
      <c r="L421" s="2"/>
      <c r="M421" s="3"/>
    </row>
    <row r="422" ht="12.75" customHeight="1">
      <c r="E422" s="2"/>
      <c r="F422" s="2"/>
      <c r="G422" s="2"/>
      <c r="H422" s="2"/>
      <c r="I422" s="2"/>
      <c r="J422" s="2"/>
      <c r="K422" s="2"/>
      <c r="L422" s="2"/>
      <c r="M422" s="3"/>
    </row>
    <row r="423" ht="12.75" customHeight="1">
      <c r="E423" s="2"/>
      <c r="F423" s="2"/>
      <c r="G423" s="2"/>
      <c r="H423" s="2"/>
      <c r="I423" s="2"/>
      <c r="J423" s="2"/>
      <c r="K423" s="2"/>
      <c r="L423" s="2"/>
      <c r="M423" s="3"/>
    </row>
    <row r="424" ht="12.75" customHeight="1">
      <c r="E424" s="2"/>
      <c r="F424" s="2"/>
      <c r="G424" s="2"/>
      <c r="H424" s="2"/>
      <c r="I424" s="2"/>
      <c r="J424" s="2"/>
      <c r="K424" s="2"/>
      <c r="L424" s="2"/>
      <c r="M424" s="3"/>
    </row>
    <row r="425" ht="12.75" customHeight="1">
      <c r="E425" s="2"/>
      <c r="F425" s="2"/>
      <c r="G425" s="2"/>
      <c r="H425" s="2"/>
      <c r="I425" s="2"/>
      <c r="J425" s="2"/>
      <c r="K425" s="2"/>
      <c r="L425" s="2"/>
      <c r="M425" s="3"/>
    </row>
    <row r="426" ht="12.75" customHeight="1">
      <c r="E426" s="2"/>
      <c r="F426" s="2"/>
      <c r="G426" s="2"/>
      <c r="H426" s="2"/>
      <c r="I426" s="2"/>
      <c r="J426" s="2"/>
      <c r="K426" s="2"/>
      <c r="L426" s="2"/>
      <c r="M426" s="3"/>
    </row>
    <row r="427" ht="12.75" customHeight="1">
      <c r="E427" s="2"/>
      <c r="F427" s="2"/>
      <c r="G427" s="2"/>
      <c r="H427" s="2"/>
      <c r="I427" s="2"/>
      <c r="J427" s="2"/>
      <c r="K427" s="2"/>
      <c r="L427" s="2"/>
      <c r="M427" s="3"/>
    </row>
    <row r="428" ht="12.75" customHeight="1">
      <c r="E428" s="2"/>
      <c r="F428" s="2"/>
      <c r="G428" s="2"/>
      <c r="H428" s="2"/>
      <c r="I428" s="2"/>
      <c r="J428" s="2"/>
      <c r="K428" s="2"/>
      <c r="L428" s="2"/>
      <c r="M428" s="3"/>
    </row>
    <row r="429" ht="12.75" customHeight="1">
      <c r="E429" s="2"/>
      <c r="F429" s="2"/>
      <c r="G429" s="2"/>
      <c r="H429" s="2"/>
      <c r="I429" s="2"/>
      <c r="J429" s="2"/>
      <c r="K429" s="2"/>
      <c r="L429" s="2"/>
      <c r="M429" s="3"/>
    </row>
    <row r="430" ht="12.75" customHeight="1">
      <c r="E430" s="2"/>
      <c r="F430" s="2"/>
      <c r="G430" s="2"/>
      <c r="H430" s="2"/>
      <c r="I430" s="2"/>
      <c r="J430" s="2"/>
      <c r="K430" s="2"/>
      <c r="L430" s="2"/>
      <c r="M430" s="3"/>
    </row>
    <row r="431" ht="12.75" customHeight="1">
      <c r="E431" s="2"/>
      <c r="F431" s="2"/>
      <c r="G431" s="2"/>
      <c r="H431" s="2"/>
      <c r="I431" s="2"/>
      <c r="J431" s="2"/>
      <c r="K431" s="2"/>
      <c r="L431" s="2"/>
      <c r="M431" s="3"/>
    </row>
    <row r="432" ht="12.75" customHeight="1">
      <c r="E432" s="2"/>
      <c r="F432" s="2"/>
      <c r="G432" s="2"/>
      <c r="H432" s="2"/>
      <c r="I432" s="2"/>
      <c r="J432" s="2"/>
      <c r="K432" s="2"/>
      <c r="L432" s="2"/>
      <c r="M432" s="3"/>
    </row>
    <row r="433" ht="12.75" customHeight="1">
      <c r="E433" s="2"/>
      <c r="F433" s="2"/>
      <c r="G433" s="2"/>
      <c r="H433" s="2"/>
      <c r="I433" s="2"/>
      <c r="J433" s="2"/>
      <c r="K433" s="2"/>
      <c r="L433" s="2"/>
      <c r="M433" s="3"/>
    </row>
    <row r="434" ht="12.75" customHeight="1">
      <c r="E434" s="2"/>
      <c r="F434" s="2"/>
      <c r="G434" s="2"/>
      <c r="H434" s="2"/>
      <c r="I434" s="2"/>
      <c r="J434" s="2"/>
      <c r="K434" s="2"/>
      <c r="L434" s="2"/>
      <c r="M434" s="3"/>
    </row>
    <row r="435" ht="12.75" customHeight="1">
      <c r="E435" s="2"/>
      <c r="F435" s="2"/>
      <c r="G435" s="2"/>
      <c r="H435" s="2"/>
      <c r="I435" s="2"/>
      <c r="J435" s="2"/>
      <c r="K435" s="2"/>
      <c r="L435" s="2"/>
      <c r="M435" s="3"/>
    </row>
    <row r="436" ht="12.75" customHeight="1">
      <c r="E436" s="2"/>
      <c r="F436" s="2"/>
      <c r="G436" s="2"/>
      <c r="H436" s="2"/>
      <c r="I436" s="2"/>
      <c r="J436" s="2"/>
      <c r="K436" s="2"/>
      <c r="L436" s="2"/>
      <c r="M436" s="3"/>
    </row>
    <row r="437" ht="12.75" customHeight="1">
      <c r="E437" s="2"/>
      <c r="F437" s="2"/>
      <c r="G437" s="2"/>
      <c r="H437" s="2"/>
      <c r="I437" s="2"/>
      <c r="J437" s="2"/>
      <c r="K437" s="2"/>
      <c r="L437" s="2"/>
      <c r="M437" s="3"/>
    </row>
    <row r="438" ht="12.75" customHeight="1">
      <c r="E438" s="2"/>
      <c r="F438" s="2"/>
      <c r="G438" s="2"/>
      <c r="H438" s="2"/>
      <c r="I438" s="2"/>
      <c r="J438" s="2"/>
      <c r="K438" s="2"/>
      <c r="L438" s="2"/>
      <c r="M438" s="3"/>
    </row>
    <row r="439" ht="12.75" customHeight="1">
      <c r="E439" s="2"/>
      <c r="F439" s="2"/>
      <c r="G439" s="2"/>
      <c r="H439" s="2"/>
      <c r="I439" s="2"/>
      <c r="J439" s="2"/>
      <c r="K439" s="2"/>
      <c r="L439" s="2"/>
      <c r="M439" s="3"/>
    </row>
    <row r="440" ht="12.75" customHeight="1">
      <c r="E440" s="2"/>
      <c r="F440" s="2"/>
      <c r="G440" s="2"/>
      <c r="H440" s="2"/>
      <c r="I440" s="2"/>
      <c r="J440" s="2"/>
      <c r="K440" s="2"/>
      <c r="L440" s="2"/>
      <c r="M440" s="3"/>
    </row>
    <row r="441" ht="12.75" customHeight="1">
      <c r="E441" s="2"/>
      <c r="F441" s="2"/>
      <c r="G441" s="2"/>
      <c r="H441" s="2"/>
      <c r="I441" s="2"/>
      <c r="J441" s="2"/>
      <c r="K441" s="2"/>
      <c r="L441" s="2"/>
      <c r="M441" s="3"/>
    </row>
    <row r="442" ht="12.75" customHeight="1">
      <c r="E442" s="2"/>
      <c r="F442" s="2"/>
      <c r="G442" s="2"/>
      <c r="H442" s="2"/>
      <c r="I442" s="2"/>
      <c r="J442" s="2"/>
      <c r="K442" s="2"/>
      <c r="L442" s="2"/>
      <c r="M442" s="3"/>
    </row>
    <row r="443" ht="12.75" customHeight="1">
      <c r="E443" s="2"/>
      <c r="F443" s="2"/>
      <c r="G443" s="2"/>
      <c r="H443" s="2"/>
      <c r="I443" s="2"/>
      <c r="J443" s="2"/>
      <c r="K443" s="2"/>
      <c r="L443" s="2"/>
      <c r="M443" s="3"/>
    </row>
    <row r="444" ht="12.75" customHeight="1">
      <c r="E444" s="2"/>
      <c r="F444" s="2"/>
      <c r="G444" s="2"/>
      <c r="H444" s="2"/>
      <c r="I444" s="2"/>
      <c r="J444" s="2"/>
      <c r="K444" s="2"/>
      <c r="L444" s="2"/>
      <c r="M444" s="3"/>
    </row>
    <row r="445" ht="12.75" customHeight="1">
      <c r="E445" s="2"/>
      <c r="F445" s="2"/>
      <c r="G445" s="2"/>
      <c r="H445" s="2"/>
      <c r="I445" s="2"/>
      <c r="J445" s="2"/>
      <c r="K445" s="2"/>
      <c r="L445" s="2"/>
      <c r="M445" s="3"/>
    </row>
    <row r="446" ht="12.75" customHeight="1">
      <c r="E446" s="2"/>
      <c r="F446" s="2"/>
      <c r="G446" s="2"/>
      <c r="H446" s="2"/>
      <c r="I446" s="2"/>
      <c r="J446" s="2"/>
      <c r="K446" s="2"/>
      <c r="L446" s="2"/>
      <c r="M446" s="3"/>
    </row>
    <row r="447" ht="12.75" customHeight="1">
      <c r="E447" s="2"/>
      <c r="F447" s="2"/>
      <c r="G447" s="2"/>
      <c r="H447" s="2"/>
      <c r="I447" s="2"/>
      <c r="J447" s="2"/>
      <c r="K447" s="2"/>
      <c r="L447" s="2"/>
      <c r="M447" s="3"/>
    </row>
    <row r="448" ht="12.75" customHeight="1">
      <c r="E448" s="2"/>
      <c r="F448" s="2"/>
      <c r="G448" s="2"/>
      <c r="H448" s="2"/>
      <c r="I448" s="2"/>
      <c r="J448" s="2"/>
      <c r="K448" s="2"/>
      <c r="L448" s="2"/>
      <c r="M448" s="3"/>
    </row>
    <row r="449" ht="12.75" customHeight="1">
      <c r="E449" s="2"/>
      <c r="F449" s="2"/>
      <c r="G449" s="2"/>
      <c r="H449" s="2"/>
      <c r="I449" s="2"/>
      <c r="J449" s="2"/>
      <c r="K449" s="2"/>
      <c r="L449" s="2"/>
      <c r="M449" s="3"/>
    </row>
    <row r="450" ht="12.75" customHeight="1">
      <c r="E450" s="2"/>
      <c r="F450" s="2"/>
      <c r="G450" s="2"/>
      <c r="H450" s="2"/>
      <c r="I450" s="2"/>
      <c r="J450" s="2"/>
      <c r="K450" s="2"/>
      <c r="L450" s="2"/>
      <c r="M450" s="3"/>
    </row>
    <row r="451" ht="12.75" customHeight="1">
      <c r="E451" s="2"/>
      <c r="F451" s="2"/>
      <c r="G451" s="2"/>
      <c r="H451" s="2"/>
      <c r="I451" s="2"/>
      <c r="J451" s="2"/>
      <c r="K451" s="2"/>
      <c r="L451" s="2"/>
      <c r="M451" s="3"/>
    </row>
    <row r="452" ht="12.75" customHeight="1">
      <c r="E452" s="2"/>
      <c r="F452" s="2"/>
      <c r="G452" s="2"/>
      <c r="H452" s="2"/>
      <c r="I452" s="2"/>
      <c r="J452" s="2"/>
      <c r="K452" s="2"/>
      <c r="L452" s="2"/>
      <c r="M452" s="3"/>
    </row>
    <row r="453" ht="12.75" customHeight="1">
      <c r="E453" s="2"/>
      <c r="F453" s="2"/>
      <c r="G453" s="2"/>
      <c r="H453" s="2"/>
      <c r="I453" s="2"/>
      <c r="J453" s="2"/>
      <c r="K453" s="2"/>
      <c r="L453" s="2"/>
      <c r="M453" s="3"/>
    </row>
    <row r="454" ht="12.75" customHeight="1">
      <c r="E454" s="2"/>
      <c r="F454" s="2"/>
      <c r="G454" s="2"/>
      <c r="H454" s="2"/>
      <c r="I454" s="2"/>
      <c r="J454" s="2"/>
      <c r="K454" s="2"/>
      <c r="L454" s="2"/>
      <c r="M454" s="3"/>
    </row>
    <row r="455" ht="12.75" customHeight="1">
      <c r="E455" s="2"/>
      <c r="F455" s="2"/>
      <c r="G455" s="2"/>
      <c r="H455" s="2"/>
      <c r="I455" s="2"/>
      <c r="J455" s="2"/>
      <c r="K455" s="2"/>
      <c r="L455" s="2"/>
      <c r="M455" s="3"/>
    </row>
    <row r="456" ht="12.75" customHeight="1">
      <c r="E456" s="2"/>
      <c r="F456" s="2"/>
      <c r="G456" s="2"/>
      <c r="H456" s="2"/>
      <c r="I456" s="2"/>
      <c r="J456" s="2"/>
      <c r="K456" s="2"/>
      <c r="L456" s="2"/>
      <c r="M456" s="3"/>
    </row>
    <row r="457" ht="12.75" customHeight="1">
      <c r="E457" s="2"/>
      <c r="F457" s="2"/>
      <c r="G457" s="2"/>
      <c r="H457" s="2"/>
      <c r="I457" s="2"/>
      <c r="J457" s="2"/>
      <c r="K457" s="2"/>
      <c r="L457" s="2"/>
      <c r="M457" s="3"/>
    </row>
    <row r="458" ht="12.75" customHeight="1">
      <c r="E458" s="2"/>
      <c r="F458" s="2"/>
      <c r="G458" s="2"/>
      <c r="H458" s="2"/>
      <c r="I458" s="2"/>
      <c r="J458" s="2"/>
      <c r="K458" s="2"/>
      <c r="L458" s="2"/>
      <c r="M458" s="3"/>
    </row>
    <row r="459" ht="12.75" customHeight="1">
      <c r="E459" s="2"/>
      <c r="F459" s="2"/>
      <c r="G459" s="2"/>
      <c r="H459" s="2"/>
      <c r="I459" s="2"/>
      <c r="J459" s="2"/>
      <c r="K459" s="2"/>
      <c r="L459" s="2"/>
      <c r="M459" s="3"/>
    </row>
    <row r="460" ht="12.75" customHeight="1">
      <c r="E460" s="2"/>
      <c r="F460" s="2"/>
      <c r="G460" s="2"/>
      <c r="H460" s="2"/>
      <c r="I460" s="2"/>
      <c r="J460" s="2"/>
      <c r="K460" s="2"/>
      <c r="L460" s="2"/>
      <c r="M460" s="3"/>
    </row>
    <row r="461" ht="12.75" customHeight="1">
      <c r="E461" s="2"/>
      <c r="F461" s="2"/>
      <c r="G461" s="2"/>
      <c r="H461" s="2"/>
      <c r="I461" s="2"/>
      <c r="J461" s="2"/>
      <c r="K461" s="2"/>
      <c r="L461" s="2"/>
      <c r="M461" s="3"/>
    </row>
    <row r="462" ht="12.75" customHeight="1">
      <c r="E462" s="2"/>
      <c r="F462" s="2"/>
      <c r="G462" s="2"/>
      <c r="H462" s="2"/>
      <c r="I462" s="2"/>
      <c r="J462" s="2"/>
      <c r="K462" s="2"/>
      <c r="L462" s="2"/>
      <c r="M462" s="3"/>
    </row>
    <row r="463" ht="12.75" customHeight="1">
      <c r="E463" s="2"/>
      <c r="F463" s="2"/>
      <c r="G463" s="2"/>
      <c r="H463" s="2"/>
      <c r="I463" s="2"/>
      <c r="J463" s="2"/>
      <c r="K463" s="2"/>
      <c r="L463" s="2"/>
      <c r="M463" s="3"/>
    </row>
    <row r="464" ht="12.75" customHeight="1">
      <c r="E464" s="2"/>
      <c r="F464" s="2"/>
      <c r="G464" s="2"/>
      <c r="H464" s="2"/>
      <c r="I464" s="2"/>
      <c r="J464" s="2"/>
      <c r="K464" s="2"/>
      <c r="L464" s="2"/>
      <c r="M464" s="3"/>
    </row>
    <row r="465" ht="12.75" customHeight="1">
      <c r="E465" s="2"/>
      <c r="F465" s="2"/>
      <c r="G465" s="2"/>
      <c r="H465" s="2"/>
      <c r="I465" s="2"/>
      <c r="J465" s="2"/>
      <c r="K465" s="2"/>
      <c r="L465" s="2"/>
      <c r="M465" s="3"/>
    </row>
    <row r="466" ht="12.75" customHeight="1">
      <c r="E466" s="2"/>
      <c r="F466" s="2"/>
      <c r="G466" s="2"/>
      <c r="H466" s="2"/>
      <c r="I466" s="2"/>
      <c r="J466" s="2"/>
      <c r="K466" s="2"/>
      <c r="L466" s="2"/>
      <c r="M466" s="3"/>
    </row>
    <row r="467" ht="12.75" customHeight="1">
      <c r="E467" s="2"/>
      <c r="F467" s="2"/>
      <c r="G467" s="2"/>
      <c r="H467" s="2"/>
      <c r="I467" s="2"/>
      <c r="J467" s="2"/>
      <c r="K467" s="2"/>
      <c r="L467" s="2"/>
      <c r="M467" s="3"/>
    </row>
    <row r="468" ht="12.75" customHeight="1">
      <c r="E468" s="2"/>
      <c r="F468" s="2"/>
      <c r="G468" s="2"/>
      <c r="H468" s="2"/>
      <c r="I468" s="2"/>
      <c r="J468" s="2"/>
      <c r="K468" s="2"/>
      <c r="L468" s="2"/>
      <c r="M468" s="3"/>
    </row>
    <row r="469" ht="12.75" customHeight="1">
      <c r="E469" s="2"/>
      <c r="F469" s="2"/>
      <c r="G469" s="2"/>
      <c r="H469" s="2"/>
      <c r="I469" s="2"/>
      <c r="J469" s="2"/>
      <c r="K469" s="2"/>
      <c r="L469" s="2"/>
      <c r="M469" s="3"/>
    </row>
    <row r="470" ht="12.75" customHeight="1">
      <c r="E470" s="2"/>
      <c r="F470" s="2"/>
      <c r="G470" s="2"/>
      <c r="H470" s="2"/>
      <c r="I470" s="2"/>
      <c r="J470" s="2"/>
      <c r="K470" s="2"/>
      <c r="L470" s="2"/>
      <c r="M470" s="3"/>
    </row>
    <row r="471" ht="12.75" customHeight="1">
      <c r="E471" s="2"/>
      <c r="F471" s="2"/>
      <c r="G471" s="2"/>
      <c r="H471" s="2"/>
      <c r="I471" s="2"/>
      <c r="J471" s="2"/>
      <c r="K471" s="2"/>
      <c r="L471" s="2"/>
      <c r="M471" s="3"/>
    </row>
    <row r="472" ht="12.75" customHeight="1">
      <c r="E472" s="2"/>
      <c r="F472" s="2"/>
      <c r="G472" s="2"/>
      <c r="H472" s="2"/>
      <c r="I472" s="2"/>
      <c r="J472" s="2"/>
      <c r="K472" s="2"/>
      <c r="L472" s="2"/>
      <c r="M472" s="3"/>
    </row>
    <row r="473" ht="12.75" customHeight="1">
      <c r="E473" s="2"/>
      <c r="F473" s="2"/>
      <c r="G473" s="2"/>
      <c r="H473" s="2"/>
      <c r="I473" s="2"/>
      <c r="J473" s="2"/>
      <c r="K473" s="2"/>
      <c r="L473" s="2"/>
      <c r="M473" s="3"/>
    </row>
    <row r="474" ht="12.75" customHeight="1">
      <c r="E474" s="2"/>
      <c r="F474" s="2"/>
      <c r="G474" s="2"/>
      <c r="H474" s="2"/>
      <c r="I474" s="2"/>
      <c r="J474" s="2"/>
      <c r="K474" s="2"/>
      <c r="L474" s="2"/>
      <c r="M474" s="3"/>
    </row>
    <row r="475" ht="12.75" customHeight="1">
      <c r="E475" s="2"/>
      <c r="F475" s="2"/>
      <c r="G475" s="2"/>
      <c r="H475" s="2"/>
      <c r="I475" s="2"/>
      <c r="J475" s="2"/>
      <c r="K475" s="2"/>
      <c r="L475" s="2"/>
      <c r="M475" s="3"/>
    </row>
    <row r="476" ht="12.75" customHeight="1">
      <c r="E476" s="2"/>
      <c r="F476" s="2"/>
      <c r="G476" s="2"/>
      <c r="H476" s="2"/>
      <c r="I476" s="2"/>
      <c r="J476" s="2"/>
      <c r="K476" s="2"/>
      <c r="L476" s="2"/>
      <c r="M476" s="3"/>
    </row>
    <row r="477" ht="12.75" customHeight="1">
      <c r="E477" s="2"/>
      <c r="F477" s="2"/>
      <c r="G477" s="2"/>
      <c r="H477" s="2"/>
      <c r="I477" s="2"/>
      <c r="J477" s="2"/>
      <c r="K477" s="2"/>
      <c r="L477" s="2"/>
      <c r="M477" s="3"/>
    </row>
    <row r="478" ht="12.75" customHeight="1">
      <c r="E478" s="2"/>
      <c r="F478" s="2"/>
      <c r="G478" s="2"/>
      <c r="H478" s="2"/>
      <c r="I478" s="2"/>
      <c r="J478" s="2"/>
      <c r="K478" s="2"/>
      <c r="L478" s="2"/>
      <c r="M478" s="3"/>
    </row>
    <row r="479" ht="12.75" customHeight="1">
      <c r="E479" s="2"/>
      <c r="F479" s="2"/>
      <c r="G479" s="2"/>
      <c r="H479" s="2"/>
      <c r="I479" s="2"/>
      <c r="J479" s="2"/>
      <c r="K479" s="2"/>
      <c r="L479" s="2"/>
      <c r="M479" s="3"/>
    </row>
    <row r="480" ht="12.75" customHeight="1">
      <c r="E480" s="2"/>
      <c r="F480" s="2"/>
      <c r="G480" s="2"/>
      <c r="H480" s="2"/>
      <c r="I480" s="2"/>
      <c r="J480" s="2"/>
      <c r="K480" s="2"/>
      <c r="L480" s="2"/>
      <c r="M480" s="3"/>
    </row>
    <row r="481" ht="12.75" customHeight="1">
      <c r="E481" s="2"/>
      <c r="F481" s="2"/>
      <c r="G481" s="2"/>
      <c r="H481" s="2"/>
      <c r="I481" s="2"/>
      <c r="J481" s="2"/>
      <c r="K481" s="2"/>
      <c r="L481" s="2"/>
      <c r="M481" s="3"/>
    </row>
    <row r="482" ht="12.75" customHeight="1">
      <c r="E482" s="2"/>
      <c r="F482" s="2"/>
      <c r="G482" s="2"/>
      <c r="H482" s="2"/>
      <c r="I482" s="2"/>
      <c r="J482" s="2"/>
      <c r="K482" s="2"/>
      <c r="L482" s="2"/>
      <c r="M482" s="3"/>
    </row>
    <row r="483" ht="12.75" customHeight="1">
      <c r="E483" s="2"/>
      <c r="F483" s="2"/>
      <c r="G483" s="2"/>
      <c r="H483" s="2"/>
      <c r="I483" s="2"/>
      <c r="J483" s="2"/>
      <c r="K483" s="2"/>
      <c r="L483" s="2"/>
      <c r="M483" s="3"/>
    </row>
    <row r="484" ht="12.75" customHeight="1">
      <c r="E484" s="2"/>
      <c r="F484" s="2"/>
      <c r="G484" s="2"/>
      <c r="H484" s="2"/>
      <c r="I484" s="2"/>
      <c r="J484" s="2"/>
      <c r="K484" s="2"/>
      <c r="L484" s="2"/>
      <c r="M484" s="3"/>
    </row>
    <row r="485" ht="12.75" customHeight="1">
      <c r="E485" s="2"/>
      <c r="F485" s="2"/>
      <c r="G485" s="2"/>
      <c r="H485" s="2"/>
      <c r="I485" s="2"/>
      <c r="J485" s="2"/>
      <c r="K485" s="2"/>
      <c r="L485" s="2"/>
      <c r="M485" s="3"/>
    </row>
    <row r="486" ht="12.75" customHeight="1">
      <c r="E486" s="2"/>
      <c r="F486" s="2"/>
      <c r="G486" s="2"/>
      <c r="H486" s="2"/>
      <c r="I486" s="2"/>
      <c r="J486" s="2"/>
      <c r="K486" s="2"/>
      <c r="L486" s="2"/>
      <c r="M486" s="3"/>
    </row>
    <row r="487" ht="12.75" customHeight="1">
      <c r="E487" s="2"/>
      <c r="F487" s="2"/>
      <c r="G487" s="2"/>
      <c r="H487" s="2"/>
      <c r="I487" s="2"/>
      <c r="J487" s="2"/>
      <c r="K487" s="2"/>
      <c r="L487" s="2"/>
      <c r="M487" s="3"/>
    </row>
    <row r="488" ht="12.75" customHeight="1">
      <c r="E488" s="2"/>
      <c r="F488" s="2"/>
      <c r="G488" s="2"/>
      <c r="H488" s="2"/>
      <c r="I488" s="2"/>
      <c r="J488" s="2"/>
      <c r="K488" s="2"/>
      <c r="L488" s="2"/>
      <c r="M488" s="3"/>
    </row>
    <row r="489" ht="12.75" customHeight="1">
      <c r="E489" s="2"/>
      <c r="F489" s="2"/>
      <c r="G489" s="2"/>
      <c r="H489" s="2"/>
      <c r="I489" s="2"/>
      <c r="J489" s="2"/>
      <c r="K489" s="2"/>
      <c r="L489" s="2"/>
      <c r="M489" s="3"/>
    </row>
    <row r="490" ht="12.75" customHeight="1">
      <c r="E490" s="2"/>
      <c r="F490" s="2"/>
      <c r="G490" s="2"/>
      <c r="H490" s="2"/>
      <c r="I490" s="2"/>
      <c r="J490" s="2"/>
      <c r="K490" s="2"/>
      <c r="L490" s="2"/>
      <c r="M490" s="3"/>
    </row>
    <row r="491" ht="12.75" customHeight="1">
      <c r="E491" s="2"/>
      <c r="F491" s="2"/>
      <c r="G491" s="2"/>
      <c r="H491" s="2"/>
      <c r="I491" s="2"/>
      <c r="J491" s="2"/>
      <c r="K491" s="2"/>
      <c r="L491" s="2"/>
      <c r="M491" s="3"/>
    </row>
    <row r="492" ht="12.75" customHeight="1">
      <c r="E492" s="2"/>
      <c r="F492" s="2"/>
      <c r="G492" s="2"/>
      <c r="H492" s="2"/>
      <c r="I492" s="2"/>
      <c r="J492" s="2"/>
      <c r="K492" s="2"/>
      <c r="L492" s="2"/>
      <c r="M492" s="3"/>
    </row>
    <row r="493" ht="12.75" customHeight="1">
      <c r="E493" s="2"/>
      <c r="F493" s="2"/>
      <c r="G493" s="2"/>
      <c r="H493" s="2"/>
      <c r="I493" s="2"/>
      <c r="J493" s="2"/>
      <c r="K493" s="2"/>
      <c r="L493" s="2"/>
      <c r="M493" s="3"/>
    </row>
    <row r="494" ht="12.75" customHeight="1">
      <c r="E494" s="2"/>
      <c r="F494" s="2"/>
      <c r="G494" s="2"/>
      <c r="H494" s="2"/>
      <c r="I494" s="2"/>
      <c r="J494" s="2"/>
      <c r="K494" s="2"/>
      <c r="L494" s="2"/>
      <c r="M494" s="3"/>
    </row>
    <row r="495" ht="12.75" customHeight="1">
      <c r="E495" s="2"/>
      <c r="F495" s="2"/>
      <c r="G495" s="2"/>
      <c r="H495" s="2"/>
      <c r="I495" s="2"/>
      <c r="J495" s="2"/>
      <c r="K495" s="2"/>
      <c r="L495" s="2"/>
      <c r="M495" s="3"/>
    </row>
    <row r="496" ht="12.75" customHeight="1">
      <c r="E496" s="2"/>
      <c r="F496" s="2"/>
      <c r="G496" s="2"/>
      <c r="H496" s="2"/>
      <c r="I496" s="2"/>
      <c r="J496" s="2"/>
      <c r="K496" s="2"/>
      <c r="L496" s="2"/>
      <c r="M496" s="3"/>
    </row>
    <row r="497" ht="12.75" customHeight="1">
      <c r="E497" s="2"/>
      <c r="F497" s="2"/>
      <c r="G497" s="2"/>
      <c r="H497" s="2"/>
      <c r="I497" s="2"/>
      <c r="J497" s="2"/>
      <c r="K497" s="2"/>
      <c r="L497" s="2"/>
      <c r="M497" s="3"/>
    </row>
    <row r="498" ht="12.75" customHeight="1">
      <c r="E498" s="2"/>
      <c r="F498" s="2"/>
      <c r="G498" s="2"/>
      <c r="H498" s="2"/>
      <c r="I498" s="2"/>
      <c r="J498" s="2"/>
      <c r="K498" s="2"/>
      <c r="L498" s="2"/>
      <c r="M498" s="3"/>
    </row>
    <row r="499" ht="12.75" customHeight="1">
      <c r="E499" s="2"/>
      <c r="F499" s="2"/>
      <c r="G499" s="2"/>
      <c r="H499" s="2"/>
      <c r="I499" s="2"/>
      <c r="J499" s="2"/>
      <c r="K499" s="2"/>
      <c r="L499" s="2"/>
      <c r="M499" s="3"/>
    </row>
    <row r="500" ht="12.75" customHeight="1">
      <c r="E500" s="2"/>
      <c r="F500" s="2"/>
      <c r="G500" s="2"/>
      <c r="H500" s="2"/>
      <c r="I500" s="2"/>
      <c r="J500" s="2"/>
      <c r="K500" s="2"/>
      <c r="L500" s="2"/>
      <c r="M500" s="3"/>
    </row>
    <row r="501" ht="12.75" customHeight="1">
      <c r="E501" s="2"/>
      <c r="F501" s="2"/>
      <c r="G501" s="2"/>
      <c r="H501" s="2"/>
      <c r="I501" s="2"/>
      <c r="J501" s="2"/>
      <c r="K501" s="2"/>
      <c r="L501" s="2"/>
      <c r="M501" s="3"/>
    </row>
    <row r="502" ht="12.75" customHeight="1">
      <c r="E502" s="2"/>
      <c r="F502" s="2"/>
      <c r="G502" s="2"/>
      <c r="H502" s="2"/>
      <c r="I502" s="2"/>
      <c r="J502" s="2"/>
      <c r="K502" s="2"/>
      <c r="L502" s="2"/>
      <c r="M502" s="3"/>
    </row>
    <row r="503" ht="12.75" customHeight="1">
      <c r="E503" s="2"/>
      <c r="F503" s="2"/>
      <c r="G503" s="2"/>
      <c r="H503" s="2"/>
      <c r="I503" s="2"/>
      <c r="J503" s="2"/>
      <c r="K503" s="2"/>
      <c r="L503" s="2"/>
      <c r="M503" s="3"/>
    </row>
    <row r="504" ht="12.75" customHeight="1">
      <c r="E504" s="2"/>
      <c r="F504" s="2"/>
      <c r="G504" s="2"/>
      <c r="H504" s="2"/>
      <c r="I504" s="2"/>
      <c r="J504" s="2"/>
      <c r="K504" s="2"/>
      <c r="L504" s="2"/>
      <c r="M504" s="3"/>
    </row>
    <row r="505" ht="12.75" customHeight="1">
      <c r="E505" s="2"/>
      <c r="F505" s="2"/>
      <c r="G505" s="2"/>
      <c r="H505" s="2"/>
      <c r="I505" s="2"/>
      <c r="J505" s="2"/>
      <c r="K505" s="2"/>
      <c r="L505" s="2"/>
      <c r="M505" s="3"/>
    </row>
    <row r="506" ht="12.75" customHeight="1">
      <c r="E506" s="2"/>
      <c r="F506" s="2"/>
      <c r="G506" s="2"/>
      <c r="H506" s="2"/>
      <c r="I506" s="2"/>
      <c r="J506" s="2"/>
      <c r="K506" s="2"/>
      <c r="L506" s="2"/>
      <c r="M506" s="3"/>
    </row>
    <row r="507" ht="12.75" customHeight="1">
      <c r="E507" s="2"/>
      <c r="F507" s="2"/>
      <c r="G507" s="2"/>
      <c r="H507" s="2"/>
      <c r="I507" s="2"/>
      <c r="J507" s="2"/>
      <c r="K507" s="2"/>
      <c r="L507" s="2"/>
      <c r="M507" s="3"/>
    </row>
    <row r="508" ht="12.75" customHeight="1">
      <c r="E508" s="2"/>
      <c r="F508" s="2"/>
      <c r="G508" s="2"/>
      <c r="H508" s="2"/>
      <c r="I508" s="2"/>
      <c r="J508" s="2"/>
      <c r="K508" s="2"/>
      <c r="L508" s="2"/>
      <c r="M508" s="3"/>
    </row>
    <row r="509" ht="12.75" customHeight="1">
      <c r="E509" s="2"/>
      <c r="F509" s="2"/>
      <c r="G509" s="2"/>
      <c r="H509" s="2"/>
      <c r="I509" s="2"/>
      <c r="J509" s="2"/>
      <c r="K509" s="2"/>
      <c r="L509" s="2"/>
      <c r="M509" s="3"/>
    </row>
    <row r="510" ht="12.75" customHeight="1">
      <c r="E510" s="2"/>
      <c r="F510" s="2"/>
      <c r="G510" s="2"/>
      <c r="H510" s="2"/>
      <c r="I510" s="2"/>
      <c r="J510" s="2"/>
      <c r="K510" s="2"/>
      <c r="L510" s="2"/>
      <c r="M510" s="3"/>
    </row>
    <row r="511" ht="12.75" customHeight="1">
      <c r="E511" s="2"/>
      <c r="F511" s="2"/>
      <c r="G511" s="2"/>
      <c r="H511" s="2"/>
      <c r="I511" s="2"/>
      <c r="J511" s="2"/>
      <c r="K511" s="2"/>
      <c r="L511" s="2"/>
      <c r="M511" s="3"/>
    </row>
    <row r="512" ht="12.75" customHeight="1">
      <c r="E512" s="2"/>
      <c r="F512" s="2"/>
      <c r="G512" s="2"/>
      <c r="H512" s="2"/>
      <c r="I512" s="2"/>
      <c r="J512" s="2"/>
      <c r="K512" s="2"/>
      <c r="L512" s="2"/>
      <c r="M512" s="3"/>
    </row>
    <row r="513" ht="12.75" customHeight="1">
      <c r="E513" s="2"/>
      <c r="F513" s="2"/>
      <c r="G513" s="2"/>
      <c r="H513" s="2"/>
      <c r="I513" s="2"/>
      <c r="J513" s="2"/>
      <c r="K513" s="2"/>
      <c r="L513" s="2"/>
      <c r="M513" s="3"/>
    </row>
    <row r="514" ht="12.75" customHeight="1">
      <c r="E514" s="2"/>
      <c r="F514" s="2"/>
      <c r="G514" s="2"/>
      <c r="H514" s="2"/>
      <c r="I514" s="2"/>
      <c r="J514" s="2"/>
      <c r="K514" s="2"/>
      <c r="L514" s="2"/>
      <c r="M514" s="3"/>
    </row>
    <row r="515" ht="12.75" customHeight="1">
      <c r="E515" s="2"/>
      <c r="F515" s="2"/>
      <c r="G515" s="2"/>
      <c r="H515" s="2"/>
      <c r="I515" s="2"/>
      <c r="J515" s="2"/>
      <c r="K515" s="2"/>
      <c r="L515" s="2"/>
      <c r="M515" s="3"/>
    </row>
    <row r="516" ht="12.75" customHeight="1">
      <c r="E516" s="2"/>
      <c r="F516" s="2"/>
      <c r="G516" s="2"/>
      <c r="H516" s="2"/>
      <c r="I516" s="2"/>
      <c r="J516" s="2"/>
      <c r="K516" s="2"/>
      <c r="L516" s="2"/>
      <c r="M516" s="3"/>
    </row>
    <row r="517" ht="12.75" customHeight="1">
      <c r="E517" s="2"/>
      <c r="F517" s="2"/>
      <c r="G517" s="2"/>
      <c r="H517" s="2"/>
      <c r="I517" s="2"/>
      <c r="J517" s="2"/>
      <c r="K517" s="2"/>
      <c r="L517" s="2"/>
      <c r="M517" s="3"/>
    </row>
    <row r="518" ht="12.75" customHeight="1">
      <c r="E518" s="2"/>
      <c r="F518" s="2"/>
      <c r="G518" s="2"/>
      <c r="H518" s="2"/>
      <c r="I518" s="2"/>
      <c r="J518" s="2"/>
      <c r="K518" s="2"/>
      <c r="L518" s="2"/>
      <c r="M518" s="3"/>
    </row>
    <row r="519" ht="12.75" customHeight="1">
      <c r="E519" s="2"/>
      <c r="F519" s="2"/>
      <c r="G519" s="2"/>
      <c r="H519" s="2"/>
      <c r="I519" s="2"/>
      <c r="J519" s="2"/>
      <c r="K519" s="2"/>
      <c r="L519" s="2"/>
      <c r="M519" s="3"/>
    </row>
    <row r="520" ht="12.75" customHeight="1">
      <c r="E520" s="2"/>
      <c r="F520" s="2"/>
      <c r="G520" s="2"/>
      <c r="H520" s="2"/>
      <c r="I520" s="2"/>
      <c r="J520" s="2"/>
      <c r="K520" s="2"/>
      <c r="L520" s="2"/>
      <c r="M520" s="3"/>
    </row>
    <row r="521" ht="12.75" customHeight="1">
      <c r="E521" s="2"/>
      <c r="F521" s="2"/>
      <c r="G521" s="2"/>
      <c r="H521" s="2"/>
      <c r="I521" s="2"/>
      <c r="J521" s="2"/>
      <c r="K521" s="2"/>
      <c r="L521" s="2"/>
      <c r="M521" s="3"/>
    </row>
    <row r="522" ht="12.75" customHeight="1">
      <c r="E522" s="2"/>
      <c r="F522" s="2"/>
      <c r="G522" s="2"/>
      <c r="H522" s="2"/>
      <c r="I522" s="2"/>
      <c r="J522" s="2"/>
      <c r="K522" s="2"/>
      <c r="L522" s="2"/>
      <c r="M522" s="3"/>
    </row>
    <row r="523" ht="12.75" customHeight="1">
      <c r="E523" s="2"/>
      <c r="F523" s="2"/>
      <c r="G523" s="2"/>
      <c r="H523" s="2"/>
      <c r="I523" s="2"/>
      <c r="J523" s="2"/>
      <c r="K523" s="2"/>
      <c r="L523" s="2"/>
      <c r="M523" s="3"/>
    </row>
    <row r="524" ht="12.75" customHeight="1">
      <c r="E524" s="2"/>
      <c r="F524" s="2"/>
      <c r="G524" s="2"/>
      <c r="H524" s="2"/>
      <c r="I524" s="2"/>
      <c r="J524" s="2"/>
      <c r="K524" s="2"/>
      <c r="L524" s="2"/>
      <c r="M524" s="3"/>
    </row>
    <row r="525" ht="12.75" customHeight="1">
      <c r="E525" s="2"/>
      <c r="F525" s="2"/>
      <c r="G525" s="2"/>
      <c r="H525" s="2"/>
      <c r="I525" s="2"/>
      <c r="J525" s="2"/>
      <c r="K525" s="2"/>
      <c r="L525" s="2"/>
      <c r="M525" s="3"/>
    </row>
    <row r="526" ht="12.75" customHeight="1">
      <c r="E526" s="2"/>
      <c r="F526" s="2"/>
      <c r="G526" s="2"/>
      <c r="H526" s="2"/>
      <c r="I526" s="2"/>
      <c r="J526" s="2"/>
      <c r="K526" s="2"/>
      <c r="L526" s="2"/>
      <c r="M526" s="3"/>
    </row>
    <row r="527" ht="12.75" customHeight="1">
      <c r="E527" s="2"/>
      <c r="F527" s="2"/>
      <c r="G527" s="2"/>
      <c r="H527" s="2"/>
      <c r="I527" s="2"/>
      <c r="J527" s="2"/>
      <c r="K527" s="2"/>
      <c r="L527" s="2"/>
      <c r="M527" s="3"/>
    </row>
    <row r="528" ht="12.75" customHeight="1">
      <c r="E528" s="2"/>
      <c r="F528" s="2"/>
      <c r="G528" s="2"/>
      <c r="H528" s="2"/>
      <c r="I528" s="2"/>
      <c r="J528" s="2"/>
      <c r="K528" s="2"/>
      <c r="L528" s="2"/>
      <c r="M528" s="3"/>
    </row>
    <row r="529" ht="12.75" customHeight="1">
      <c r="E529" s="2"/>
      <c r="F529" s="2"/>
      <c r="G529" s="2"/>
      <c r="H529" s="2"/>
      <c r="I529" s="2"/>
      <c r="J529" s="2"/>
      <c r="K529" s="2"/>
      <c r="L529" s="2"/>
      <c r="M529" s="3"/>
    </row>
    <row r="530" ht="12.75" customHeight="1">
      <c r="E530" s="2"/>
      <c r="F530" s="2"/>
      <c r="G530" s="2"/>
      <c r="H530" s="2"/>
      <c r="I530" s="2"/>
      <c r="J530" s="2"/>
      <c r="K530" s="2"/>
      <c r="L530" s="2"/>
      <c r="M530" s="3"/>
    </row>
    <row r="531" ht="12.75" customHeight="1">
      <c r="E531" s="2"/>
      <c r="F531" s="2"/>
      <c r="G531" s="2"/>
      <c r="H531" s="2"/>
      <c r="I531" s="2"/>
      <c r="J531" s="2"/>
      <c r="K531" s="2"/>
      <c r="L531" s="2"/>
      <c r="M531" s="3"/>
    </row>
    <row r="532" ht="12.75" customHeight="1">
      <c r="E532" s="2"/>
      <c r="F532" s="2"/>
      <c r="G532" s="2"/>
      <c r="H532" s="2"/>
      <c r="I532" s="2"/>
      <c r="J532" s="2"/>
      <c r="K532" s="2"/>
      <c r="L532" s="2"/>
      <c r="M532" s="3"/>
    </row>
    <row r="533" ht="12.75" customHeight="1">
      <c r="E533" s="2"/>
      <c r="F533" s="2"/>
      <c r="G533" s="2"/>
      <c r="H533" s="2"/>
      <c r="I533" s="2"/>
      <c r="J533" s="2"/>
      <c r="K533" s="2"/>
      <c r="L533" s="2"/>
      <c r="M533" s="3"/>
    </row>
    <row r="534" ht="12.75" customHeight="1">
      <c r="E534" s="2"/>
      <c r="F534" s="2"/>
      <c r="G534" s="2"/>
      <c r="H534" s="2"/>
      <c r="I534" s="2"/>
      <c r="J534" s="2"/>
      <c r="K534" s="2"/>
      <c r="L534" s="2"/>
      <c r="M534" s="3"/>
    </row>
    <row r="535" ht="12.75" customHeight="1">
      <c r="E535" s="2"/>
      <c r="F535" s="2"/>
      <c r="G535" s="2"/>
      <c r="H535" s="2"/>
      <c r="I535" s="2"/>
      <c r="J535" s="2"/>
      <c r="K535" s="2"/>
      <c r="L535" s="2"/>
      <c r="M535" s="3"/>
    </row>
    <row r="536" ht="12.75" customHeight="1">
      <c r="E536" s="2"/>
      <c r="F536" s="2"/>
      <c r="G536" s="2"/>
      <c r="H536" s="2"/>
      <c r="I536" s="2"/>
      <c r="J536" s="2"/>
      <c r="K536" s="2"/>
      <c r="L536" s="2"/>
      <c r="M536" s="3"/>
    </row>
    <row r="537" ht="12.75" customHeight="1">
      <c r="E537" s="2"/>
      <c r="F537" s="2"/>
      <c r="G537" s="2"/>
      <c r="H537" s="2"/>
      <c r="I537" s="2"/>
      <c r="J537" s="2"/>
      <c r="K537" s="2"/>
      <c r="L537" s="2"/>
      <c r="M537" s="3"/>
    </row>
    <row r="538" ht="12.75" customHeight="1">
      <c r="E538" s="2"/>
      <c r="F538" s="2"/>
      <c r="G538" s="2"/>
      <c r="H538" s="2"/>
      <c r="I538" s="2"/>
      <c r="J538" s="2"/>
      <c r="K538" s="2"/>
      <c r="L538" s="2"/>
      <c r="M538" s="3"/>
    </row>
    <row r="539" ht="12.75" customHeight="1">
      <c r="E539" s="2"/>
      <c r="F539" s="2"/>
      <c r="G539" s="2"/>
      <c r="H539" s="2"/>
      <c r="I539" s="2"/>
      <c r="J539" s="2"/>
      <c r="K539" s="2"/>
      <c r="L539" s="2"/>
      <c r="M539" s="3"/>
    </row>
    <row r="540" ht="12.75" customHeight="1">
      <c r="E540" s="2"/>
      <c r="F540" s="2"/>
      <c r="G540" s="2"/>
      <c r="H540" s="2"/>
      <c r="I540" s="2"/>
      <c r="J540" s="2"/>
      <c r="K540" s="2"/>
      <c r="L540" s="2"/>
      <c r="M540" s="3"/>
    </row>
    <row r="541" ht="12.75" customHeight="1">
      <c r="E541" s="2"/>
      <c r="F541" s="2"/>
      <c r="G541" s="2"/>
      <c r="H541" s="2"/>
      <c r="I541" s="2"/>
      <c r="J541" s="2"/>
      <c r="K541" s="2"/>
      <c r="L541" s="2"/>
      <c r="M541" s="3"/>
    </row>
    <row r="542" ht="12.75" customHeight="1">
      <c r="E542" s="2"/>
      <c r="F542" s="2"/>
      <c r="G542" s="2"/>
      <c r="H542" s="2"/>
      <c r="I542" s="2"/>
      <c r="J542" s="2"/>
      <c r="K542" s="2"/>
      <c r="L542" s="2"/>
      <c r="M542" s="3"/>
    </row>
    <row r="543" ht="12.75" customHeight="1">
      <c r="E543" s="2"/>
      <c r="F543" s="2"/>
      <c r="G543" s="2"/>
      <c r="H543" s="2"/>
      <c r="I543" s="2"/>
      <c r="J543" s="2"/>
      <c r="K543" s="2"/>
      <c r="L543" s="2"/>
      <c r="M543" s="3"/>
    </row>
    <row r="544" ht="12.75" customHeight="1">
      <c r="E544" s="2"/>
      <c r="F544" s="2"/>
      <c r="G544" s="2"/>
      <c r="H544" s="2"/>
      <c r="I544" s="2"/>
      <c r="J544" s="2"/>
      <c r="K544" s="2"/>
      <c r="L544" s="2"/>
      <c r="M544" s="3"/>
    </row>
    <row r="545" ht="12.75" customHeight="1">
      <c r="E545" s="2"/>
      <c r="F545" s="2"/>
      <c r="G545" s="2"/>
      <c r="H545" s="2"/>
      <c r="I545" s="2"/>
      <c r="J545" s="2"/>
      <c r="K545" s="2"/>
      <c r="L545" s="2"/>
      <c r="M545" s="3"/>
    </row>
    <row r="546" ht="12.75" customHeight="1">
      <c r="E546" s="2"/>
      <c r="F546" s="2"/>
      <c r="G546" s="2"/>
      <c r="H546" s="2"/>
      <c r="I546" s="2"/>
      <c r="J546" s="2"/>
      <c r="K546" s="2"/>
      <c r="L546" s="2"/>
      <c r="M546" s="3"/>
    </row>
    <row r="547" ht="12.75" customHeight="1">
      <c r="E547" s="2"/>
      <c r="F547" s="2"/>
      <c r="G547" s="2"/>
      <c r="H547" s="2"/>
      <c r="I547" s="2"/>
      <c r="J547" s="2"/>
      <c r="K547" s="2"/>
      <c r="L547" s="2"/>
      <c r="M547" s="3"/>
    </row>
    <row r="548" ht="12.75" customHeight="1">
      <c r="E548" s="2"/>
      <c r="F548" s="2"/>
      <c r="G548" s="2"/>
      <c r="H548" s="2"/>
      <c r="I548" s="2"/>
      <c r="J548" s="2"/>
      <c r="K548" s="2"/>
      <c r="L548" s="2"/>
      <c r="M548" s="3"/>
    </row>
    <row r="549" ht="12.75" customHeight="1">
      <c r="E549" s="2"/>
      <c r="F549" s="2"/>
      <c r="G549" s="2"/>
      <c r="H549" s="2"/>
      <c r="I549" s="2"/>
      <c r="J549" s="2"/>
      <c r="K549" s="2"/>
      <c r="L549" s="2"/>
      <c r="M549" s="3"/>
    </row>
    <row r="550" ht="12.75" customHeight="1">
      <c r="E550" s="2"/>
      <c r="F550" s="2"/>
      <c r="G550" s="2"/>
      <c r="H550" s="2"/>
      <c r="I550" s="2"/>
      <c r="J550" s="2"/>
      <c r="K550" s="2"/>
      <c r="L550" s="2"/>
      <c r="M550" s="3"/>
    </row>
    <row r="551" ht="12.75" customHeight="1">
      <c r="E551" s="2"/>
      <c r="F551" s="2"/>
      <c r="G551" s="2"/>
      <c r="H551" s="2"/>
      <c r="I551" s="2"/>
      <c r="J551" s="2"/>
      <c r="K551" s="2"/>
      <c r="L551" s="2"/>
      <c r="M551" s="3"/>
    </row>
    <row r="552" ht="12.75" customHeight="1">
      <c r="E552" s="2"/>
      <c r="F552" s="2"/>
      <c r="G552" s="2"/>
      <c r="H552" s="2"/>
      <c r="I552" s="2"/>
      <c r="J552" s="2"/>
      <c r="K552" s="2"/>
      <c r="L552" s="2"/>
      <c r="M552" s="3"/>
    </row>
    <row r="553" ht="12.75" customHeight="1">
      <c r="E553" s="2"/>
      <c r="F553" s="2"/>
      <c r="G553" s="2"/>
      <c r="H553" s="2"/>
      <c r="I553" s="2"/>
      <c r="J553" s="2"/>
      <c r="K553" s="2"/>
      <c r="L553" s="2"/>
      <c r="M553" s="3"/>
    </row>
    <row r="554" ht="12.75" customHeight="1">
      <c r="E554" s="2"/>
      <c r="F554" s="2"/>
      <c r="G554" s="2"/>
      <c r="H554" s="2"/>
      <c r="I554" s="2"/>
      <c r="J554" s="2"/>
      <c r="K554" s="2"/>
      <c r="L554" s="2"/>
      <c r="M554" s="3"/>
    </row>
    <row r="555" ht="12.75" customHeight="1">
      <c r="E555" s="2"/>
      <c r="F555" s="2"/>
      <c r="G555" s="2"/>
      <c r="H555" s="2"/>
      <c r="I555" s="2"/>
      <c r="J555" s="2"/>
      <c r="K555" s="2"/>
      <c r="L555" s="2"/>
      <c r="M555" s="3"/>
    </row>
    <row r="556" ht="12.75" customHeight="1">
      <c r="E556" s="2"/>
      <c r="F556" s="2"/>
      <c r="G556" s="2"/>
      <c r="H556" s="2"/>
      <c r="I556" s="2"/>
      <c r="J556" s="2"/>
      <c r="K556" s="2"/>
      <c r="L556" s="2"/>
      <c r="M556" s="3"/>
    </row>
    <row r="557" ht="12.75" customHeight="1">
      <c r="E557" s="2"/>
      <c r="F557" s="2"/>
      <c r="G557" s="2"/>
      <c r="H557" s="2"/>
      <c r="I557" s="2"/>
      <c r="J557" s="2"/>
      <c r="K557" s="2"/>
      <c r="L557" s="2"/>
      <c r="M557" s="3"/>
    </row>
    <row r="558" ht="12.75" customHeight="1">
      <c r="E558" s="2"/>
      <c r="F558" s="2"/>
      <c r="G558" s="2"/>
      <c r="H558" s="2"/>
      <c r="I558" s="2"/>
      <c r="J558" s="2"/>
      <c r="K558" s="2"/>
      <c r="L558" s="2"/>
      <c r="M558" s="3"/>
    </row>
    <row r="559" ht="12.75" customHeight="1">
      <c r="E559" s="2"/>
      <c r="F559" s="2"/>
      <c r="G559" s="2"/>
      <c r="H559" s="2"/>
      <c r="I559" s="2"/>
      <c r="J559" s="2"/>
      <c r="K559" s="2"/>
      <c r="L559" s="2"/>
      <c r="M559" s="3"/>
    </row>
    <row r="560" ht="12.75" customHeight="1">
      <c r="E560" s="2"/>
      <c r="F560" s="2"/>
      <c r="G560" s="2"/>
      <c r="H560" s="2"/>
      <c r="I560" s="2"/>
      <c r="J560" s="2"/>
      <c r="K560" s="2"/>
      <c r="L560" s="2"/>
      <c r="M560" s="3"/>
    </row>
    <row r="561" ht="12.75" customHeight="1">
      <c r="E561" s="2"/>
      <c r="F561" s="2"/>
      <c r="G561" s="2"/>
      <c r="H561" s="2"/>
      <c r="I561" s="2"/>
      <c r="J561" s="2"/>
      <c r="K561" s="2"/>
      <c r="L561" s="2"/>
      <c r="M561" s="3"/>
    </row>
    <row r="562" ht="12.75" customHeight="1">
      <c r="E562" s="2"/>
      <c r="F562" s="2"/>
      <c r="G562" s="2"/>
      <c r="H562" s="2"/>
      <c r="I562" s="2"/>
      <c r="J562" s="2"/>
      <c r="K562" s="2"/>
      <c r="L562" s="2"/>
      <c r="M562" s="3"/>
    </row>
    <row r="563" ht="12.75" customHeight="1">
      <c r="E563" s="2"/>
      <c r="F563" s="2"/>
      <c r="G563" s="2"/>
      <c r="H563" s="2"/>
      <c r="I563" s="2"/>
      <c r="J563" s="2"/>
      <c r="K563" s="2"/>
      <c r="L563" s="2"/>
      <c r="M563" s="3"/>
    </row>
    <row r="564" ht="12.75" customHeight="1">
      <c r="E564" s="2"/>
      <c r="F564" s="2"/>
      <c r="G564" s="2"/>
      <c r="H564" s="2"/>
      <c r="I564" s="2"/>
      <c r="J564" s="2"/>
      <c r="K564" s="2"/>
      <c r="L564" s="2"/>
      <c r="M564" s="3"/>
    </row>
    <row r="565" ht="12.75" customHeight="1">
      <c r="E565" s="2"/>
      <c r="F565" s="2"/>
      <c r="G565" s="2"/>
      <c r="H565" s="2"/>
      <c r="I565" s="2"/>
      <c r="J565" s="2"/>
      <c r="K565" s="2"/>
      <c r="L565" s="2"/>
      <c r="M565" s="3"/>
    </row>
    <row r="566" ht="12.75" customHeight="1">
      <c r="E566" s="2"/>
      <c r="F566" s="2"/>
      <c r="G566" s="2"/>
      <c r="H566" s="2"/>
      <c r="I566" s="2"/>
      <c r="J566" s="2"/>
      <c r="K566" s="2"/>
      <c r="L566" s="2"/>
      <c r="M566" s="3"/>
    </row>
    <row r="567" ht="12.75" customHeight="1">
      <c r="E567" s="2"/>
      <c r="F567" s="2"/>
      <c r="G567" s="2"/>
      <c r="H567" s="2"/>
      <c r="I567" s="2"/>
      <c r="J567" s="2"/>
      <c r="K567" s="2"/>
      <c r="L567" s="2"/>
      <c r="M567" s="3"/>
    </row>
    <row r="568" ht="12.75" customHeight="1">
      <c r="E568" s="2"/>
      <c r="F568" s="2"/>
      <c r="G568" s="2"/>
      <c r="H568" s="2"/>
      <c r="I568" s="2"/>
      <c r="J568" s="2"/>
      <c r="K568" s="2"/>
      <c r="L568" s="2"/>
      <c r="M568" s="3"/>
    </row>
    <row r="569" ht="12.75" customHeight="1">
      <c r="E569" s="2"/>
      <c r="F569" s="2"/>
      <c r="G569" s="2"/>
      <c r="H569" s="2"/>
      <c r="I569" s="2"/>
      <c r="J569" s="2"/>
      <c r="K569" s="2"/>
      <c r="L569" s="2"/>
      <c r="M569" s="3"/>
    </row>
    <row r="570" ht="12.75" customHeight="1">
      <c r="E570" s="2"/>
      <c r="F570" s="2"/>
      <c r="G570" s="2"/>
      <c r="H570" s="2"/>
      <c r="I570" s="2"/>
      <c r="J570" s="2"/>
      <c r="K570" s="2"/>
      <c r="L570" s="2"/>
      <c r="M570" s="3"/>
    </row>
    <row r="571" ht="12.75" customHeight="1">
      <c r="E571" s="2"/>
      <c r="F571" s="2"/>
      <c r="G571" s="2"/>
      <c r="H571" s="2"/>
      <c r="I571" s="2"/>
      <c r="J571" s="2"/>
      <c r="K571" s="2"/>
      <c r="L571" s="2"/>
      <c r="M571" s="3"/>
    </row>
    <row r="572" ht="12.75" customHeight="1">
      <c r="E572" s="2"/>
      <c r="F572" s="2"/>
      <c r="G572" s="2"/>
      <c r="H572" s="2"/>
      <c r="I572" s="2"/>
      <c r="J572" s="2"/>
      <c r="K572" s="2"/>
      <c r="L572" s="2"/>
      <c r="M572" s="3"/>
    </row>
    <row r="573" ht="12.75" customHeight="1">
      <c r="E573" s="2"/>
      <c r="F573" s="2"/>
      <c r="G573" s="2"/>
      <c r="H573" s="2"/>
      <c r="I573" s="2"/>
      <c r="J573" s="2"/>
      <c r="K573" s="2"/>
      <c r="L573" s="2"/>
      <c r="M573" s="3"/>
    </row>
    <row r="574" ht="12.75" customHeight="1">
      <c r="E574" s="2"/>
      <c r="F574" s="2"/>
      <c r="G574" s="2"/>
      <c r="H574" s="2"/>
      <c r="I574" s="2"/>
      <c r="J574" s="2"/>
      <c r="K574" s="2"/>
      <c r="L574" s="2"/>
      <c r="M574" s="3"/>
    </row>
    <row r="575" ht="12.75" customHeight="1">
      <c r="E575" s="2"/>
      <c r="F575" s="2"/>
      <c r="G575" s="2"/>
      <c r="H575" s="2"/>
      <c r="I575" s="2"/>
      <c r="J575" s="2"/>
      <c r="K575" s="2"/>
      <c r="L575" s="2"/>
      <c r="M575" s="3"/>
    </row>
    <row r="576" ht="12.75" customHeight="1">
      <c r="E576" s="2"/>
      <c r="F576" s="2"/>
      <c r="G576" s="2"/>
      <c r="H576" s="2"/>
      <c r="I576" s="2"/>
      <c r="J576" s="2"/>
      <c r="K576" s="2"/>
      <c r="L576" s="2"/>
      <c r="M576" s="3"/>
    </row>
    <row r="577" ht="12.75" customHeight="1">
      <c r="E577" s="2"/>
      <c r="F577" s="2"/>
      <c r="G577" s="2"/>
      <c r="H577" s="2"/>
      <c r="I577" s="2"/>
      <c r="J577" s="2"/>
      <c r="K577" s="2"/>
      <c r="L577" s="2"/>
      <c r="M577" s="3"/>
    </row>
    <row r="578" ht="12.75" customHeight="1">
      <c r="E578" s="2"/>
      <c r="F578" s="2"/>
      <c r="G578" s="2"/>
      <c r="H578" s="2"/>
      <c r="I578" s="2"/>
      <c r="J578" s="2"/>
      <c r="K578" s="2"/>
      <c r="L578" s="2"/>
      <c r="M578" s="3"/>
    </row>
    <row r="579" ht="12.75" customHeight="1">
      <c r="E579" s="2"/>
      <c r="F579" s="2"/>
      <c r="G579" s="2"/>
      <c r="H579" s="2"/>
      <c r="I579" s="2"/>
      <c r="J579" s="2"/>
      <c r="K579" s="2"/>
      <c r="L579" s="2"/>
      <c r="M579" s="3"/>
    </row>
    <row r="580" ht="12.75" customHeight="1">
      <c r="E580" s="2"/>
      <c r="F580" s="2"/>
      <c r="G580" s="2"/>
      <c r="H580" s="2"/>
      <c r="I580" s="2"/>
      <c r="J580" s="2"/>
      <c r="K580" s="2"/>
      <c r="L580" s="2"/>
      <c r="M580" s="3"/>
    </row>
    <row r="581" ht="12.75" customHeight="1">
      <c r="E581" s="2"/>
      <c r="F581" s="2"/>
      <c r="G581" s="2"/>
      <c r="H581" s="2"/>
      <c r="I581" s="2"/>
      <c r="J581" s="2"/>
      <c r="K581" s="2"/>
      <c r="L581" s="2"/>
      <c r="M581" s="3"/>
    </row>
    <row r="582" ht="12.75" customHeight="1">
      <c r="E582" s="2"/>
      <c r="F582" s="2"/>
      <c r="G582" s="2"/>
      <c r="H582" s="2"/>
      <c r="I582" s="2"/>
      <c r="J582" s="2"/>
      <c r="K582" s="2"/>
      <c r="L582" s="2"/>
      <c r="M582" s="3"/>
    </row>
    <row r="583" ht="12.75" customHeight="1">
      <c r="E583" s="2"/>
      <c r="F583" s="2"/>
      <c r="G583" s="2"/>
      <c r="H583" s="2"/>
      <c r="I583" s="2"/>
      <c r="J583" s="2"/>
      <c r="K583" s="2"/>
      <c r="L583" s="2"/>
      <c r="M583" s="3"/>
    </row>
    <row r="584" ht="12.75" customHeight="1">
      <c r="E584" s="2"/>
      <c r="F584" s="2"/>
      <c r="G584" s="2"/>
      <c r="H584" s="2"/>
      <c r="I584" s="2"/>
      <c r="J584" s="2"/>
      <c r="K584" s="2"/>
      <c r="L584" s="2"/>
      <c r="M584" s="3"/>
    </row>
    <row r="585" ht="12.75" customHeight="1">
      <c r="E585" s="2"/>
      <c r="F585" s="2"/>
      <c r="G585" s="2"/>
      <c r="H585" s="2"/>
      <c r="I585" s="2"/>
      <c r="J585" s="2"/>
      <c r="K585" s="2"/>
      <c r="L585" s="2"/>
      <c r="M585" s="3"/>
    </row>
    <row r="586" ht="12.75" customHeight="1">
      <c r="E586" s="2"/>
      <c r="F586" s="2"/>
      <c r="G586" s="2"/>
      <c r="H586" s="2"/>
      <c r="I586" s="2"/>
      <c r="J586" s="2"/>
      <c r="K586" s="2"/>
      <c r="L586" s="2"/>
      <c r="M586" s="3"/>
    </row>
    <row r="587" ht="12.75" customHeight="1">
      <c r="E587" s="2"/>
      <c r="F587" s="2"/>
      <c r="G587" s="2"/>
      <c r="H587" s="2"/>
      <c r="I587" s="2"/>
      <c r="J587" s="2"/>
      <c r="K587" s="2"/>
      <c r="L587" s="2"/>
      <c r="M587" s="3"/>
    </row>
    <row r="588" ht="12.75" customHeight="1">
      <c r="E588" s="2"/>
      <c r="F588" s="2"/>
      <c r="G588" s="2"/>
      <c r="H588" s="2"/>
      <c r="I588" s="2"/>
      <c r="J588" s="2"/>
      <c r="K588" s="2"/>
      <c r="L588" s="2"/>
      <c r="M588" s="3"/>
    </row>
    <row r="589" ht="12.75" customHeight="1">
      <c r="E589" s="2"/>
      <c r="F589" s="2"/>
      <c r="G589" s="2"/>
      <c r="H589" s="2"/>
      <c r="I589" s="2"/>
      <c r="J589" s="2"/>
      <c r="K589" s="2"/>
      <c r="L589" s="2"/>
      <c r="M589" s="3"/>
    </row>
    <row r="590" ht="12.75" customHeight="1">
      <c r="E590" s="2"/>
      <c r="F590" s="2"/>
      <c r="G590" s="2"/>
      <c r="H590" s="2"/>
      <c r="I590" s="2"/>
      <c r="J590" s="2"/>
      <c r="K590" s="2"/>
      <c r="L590" s="2"/>
      <c r="M590" s="3"/>
    </row>
    <row r="591" ht="12.75" customHeight="1">
      <c r="E591" s="2"/>
      <c r="F591" s="2"/>
      <c r="G591" s="2"/>
      <c r="H591" s="2"/>
      <c r="I591" s="2"/>
      <c r="J591" s="2"/>
      <c r="K591" s="2"/>
      <c r="L591" s="2"/>
      <c r="M591" s="3"/>
    </row>
    <row r="592" ht="12.75" customHeight="1">
      <c r="E592" s="2"/>
      <c r="F592" s="2"/>
      <c r="G592" s="2"/>
      <c r="H592" s="2"/>
      <c r="I592" s="2"/>
      <c r="J592" s="2"/>
      <c r="K592" s="2"/>
      <c r="L592" s="2"/>
      <c r="M592" s="3"/>
    </row>
    <row r="593" ht="12.75" customHeight="1">
      <c r="E593" s="2"/>
      <c r="F593" s="2"/>
      <c r="G593" s="2"/>
      <c r="H593" s="2"/>
      <c r="I593" s="2"/>
      <c r="J593" s="2"/>
      <c r="K593" s="2"/>
      <c r="L593" s="2"/>
      <c r="M593" s="3"/>
    </row>
    <row r="594" ht="12.75" customHeight="1">
      <c r="E594" s="2"/>
      <c r="F594" s="2"/>
      <c r="G594" s="2"/>
      <c r="H594" s="2"/>
      <c r="I594" s="2"/>
      <c r="J594" s="2"/>
      <c r="K594" s="2"/>
      <c r="L594" s="2"/>
      <c r="M594" s="3"/>
    </row>
    <row r="595" ht="12.75" customHeight="1">
      <c r="E595" s="2"/>
      <c r="F595" s="2"/>
      <c r="G595" s="2"/>
      <c r="H595" s="2"/>
      <c r="I595" s="2"/>
      <c r="J595" s="2"/>
      <c r="K595" s="2"/>
      <c r="L595" s="2"/>
      <c r="M595" s="3"/>
    </row>
    <row r="596" ht="12.75" customHeight="1">
      <c r="E596" s="2"/>
      <c r="F596" s="2"/>
      <c r="G596" s="2"/>
      <c r="H596" s="2"/>
      <c r="I596" s="2"/>
      <c r="J596" s="2"/>
      <c r="K596" s="2"/>
      <c r="L596" s="2"/>
      <c r="M596" s="3"/>
    </row>
    <row r="597" ht="12.75" customHeight="1">
      <c r="E597" s="2"/>
      <c r="F597" s="2"/>
      <c r="G597" s="2"/>
      <c r="H597" s="2"/>
      <c r="I597" s="2"/>
      <c r="J597" s="2"/>
      <c r="K597" s="2"/>
      <c r="L597" s="2"/>
      <c r="M597" s="3"/>
    </row>
    <row r="598" ht="12.75" customHeight="1">
      <c r="E598" s="2"/>
      <c r="F598" s="2"/>
      <c r="G598" s="2"/>
      <c r="H598" s="2"/>
      <c r="I598" s="2"/>
      <c r="J598" s="2"/>
      <c r="K598" s="2"/>
      <c r="L598" s="2"/>
      <c r="M598" s="3"/>
    </row>
    <row r="599" ht="12.75" customHeight="1">
      <c r="E599" s="2"/>
      <c r="F599" s="2"/>
      <c r="G599" s="2"/>
      <c r="H599" s="2"/>
      <c r="I599" s="2"/>
      <c r="J599" s="2"/>
      <c r="K599" s="2"/>
      <c r="L599" s="2"/>
      <c r="M599" s="3"/>
    </row>
    <row r="600" ht="12.75" customHeight="1">
      <c r="E600" s="2"/>
      <c r="F600" s="2"/>
      <c r="G600" s="2"/>
      <c r="H600" s="2"/>
      <c r="I600" s="2"/>
      <c r="J600" s="2"/>
      <c r="K600" s="2"/>
      <c r="L600" s="2"/>
      <c r="M600" s="3"/>
    </row>
    <row r="601" ht="12.75" customHeight="1">
      <c r="E601" s="2"/>
      <c r="F601" s="2"/>
      <c r="G601" s="2"/>
      <c r="H601" s="2"/>
      <c r="I601" s="2"/>
      <c r="J601" s="2"/>
      <c r="K601" s="2"/>
      <c r="L601" s="2"/>
      <c r="M601" s="3"/>
    </row>
    <row r="602" ht="12.75" customHeight="1">
      <c r="E602" s="2"/>
      <c r="F602" s="2"/>
      <c r="G602" s="2"/>
      <c r="H602" s="2"/>
      <c r="I602" s="2"/>
      <c r="J602" s="2"/>
      <c r="K602" s="2"/>
      <c r="L602" s="2"/>
      <c r="M602" s="3"/>
    </row>
    <row r="603" ht="12.75" customHeight="1">
      <c r="E603" s="2"/>
      <c r="F603" s="2"/>
      <c r="G603" s="2"/>
      <c r="H603" s="2"/>
      <c r="I603" s="2"/>
      <c r="J603" s="2"/>
      <c r="K603" s="2"/>
      <c r="L603" s="2"/>
      <c r="M603" s="3"/>
    </row>
    <row r="604" ht="12.75" customHeight="1">
      <c r="E604" s="2"/>
      <c r="F604" s="2"/>
      <c r="G604" s="2"/>
      <c r="H604" s="2"/>
      <c r="I604" s="2"/>
      <c r="J604" s="2"/>
      <c r="K604" s="2"/>
      <c r="L604" s="2"/>
      <c r="M604" s="3"/>
    </row>
    <row r="605" ht="12.75" customHeight="1">
      <c r="E605" s="2"/>
      <c r="F605" s="2"/>
      <c r="G605" s="2"/>
      <c r="H605" s="2"/>
      <c r="I605" s="2"/>
      <c r="J605" s="2"/>
      <c r="K605" s="2"/>
      <c r="L605" s="2"/>
      <c r="M605" s="3"/>
    </row>
    <row r="606" ht="12.75" customHeight="1">
      <c r="E606" s="2"/>
      <c r="F606" s="2"/>
      <c r="G606" s="2"/>
      <c r="H606" s="2"/>
      <c r="I606" s="2"/>
      <c r="J606" s="2"/>
      <c r="K606" s="2"/>
      <c r="L606" s="2"/>
      <c r="M606" s="3"/>
    </row>
    <row r="607" ht="12.75" customHeight="1">
      <c r="E607" s="2"/>
      <c r="F607" s="2"/>
      <c r="G607" s="2"/>
      <c r="H607" s="2"/>
      <c r="I607" s="2"/>
      <c r="J607" s="2"/>
      <c r="K607" s="2"/>
      <c r="L607" s="2"/>
      <c r="M607" s="3"/>
    </row>
    <row r="608" ht="12.75" customHeight="1">
      <c r="E608" s="2"/>
      <c r="F608" s="2"/>
      <c r="G608" s="2"/>
      <c r="H608" s="2"/>
      <c r="I608" s="2"/>
      <c r="J608" s="2"/>
      <c r="K608" s="2"/>
      <c r="L608" s="2"/>
      <c r="M608" s="3"/>
    </row>
    <row r="609" ht="12.75" customHeight="1">
      <c r="E609" s="2"/>
      <c r="F609" s="2"/>
      <c r="G609" s="2"/>
      <c r="H609" s="2"/>
      <c r="I609" s="2"/>
      <c r="J609" s="2"/>
      <c r="K609" s="2"/>
      <c r="L609" s="2"/>
      <c r="M609" s="3"/>
    </row>
    <row r="610" ht="12.75" customHeight="1">
      <c r="E610" s="2"/>
      <c r="F610" s="2"/>
      <c r="G610" s="2"/>
      <c r="H610" s="2"/>
      <c r="I610" s="2"/>
      <c r="J610" s="2"/>
      <c r="K610" s="2"/>
      <c r="L610" s="2"/>
      <c r="M610" s="3"/>
    </row>
    <row r="611" ht="12.75" customHeight="1">
      <c r="E611" s="2"/>
      <c r="F611" s="2"/>
      <c r="G611" s="2"/>
      <c r="H611" s="2"/>
      <c r="I611" s="2"/>
      <c r="J611" s="2"/>
      <c r="K611" s="2"/>
      <c r="L611" s="2"/>
      <c r="M611" s="3"/>
    </row>
    <row r="612" ht="12.75" customHeight="1">
      <c r="E612" s="2"/>
      <c r="F612" s="2"/>
      <c r="G612" s="2"/>
      <c r="H612" s="2"/>
      <c r="I612" s="2"/>
      <c r="J612" s="2"/>
      <c r="K612" s="2"/>
      <c r="L612" s="2"/>
      <c r="M612" s="3"/>
    </row>
    <row r="613" ht="12.75" customHeight="1">
      <c r="E613" s="2"/>
      <c r="F613" s="2"/>
      <c r="G613" s="2"/>
      <c r="H613" s="2"/>
      <c r="I613" s="2"/>
      <c r="J613" s="2"/>
      <c r="K613" s="2"/>
      <c r="L613" s="2"/>
      <c r="M613" s="3"/>
    </row>
    <row r="614" ht="12.75" customHeight="1">
      <c r="E614" s="2"/>
      <c r="F614" s="2"/>
      <c r="G614" s="2"/>
      <c r="H614" s="2"/>
      <c r="I614" s="2"/>
      <c r="J614" s="2"/>
      <c r="K614" s="2"/>
      <c r="L614" s="2"/>
      <c r="M614" s="3"/>
    </row>
    <row r="615" ht="12.75" customHeight="1">
      <c r="E615" s="2"/>
      <c r="F615" s="2"/>
      <c r="G615" s="2"/>
      <c r="H615" s="2"/>
      <c r="I615" s="2"/>
      <c r="J615" s="2"/>
      <c r="K615" s="2"/>
      <c r="L615" s="2"/>
      <c r="M615" s="3"/>
    </row>
    <row r="616" ht="12.75" customHeight="1">
      <c r="E616" s="2"/>
      <c r="F616" s="2"/>
      <c r="G616" s="2"/>
      <c r="H616" s="2"/>
      <c r="I616" s="2"/>
      <c r="J616" s="2"/>
      <c r="K616" s="2"/>
      <c r="L616" s="2"/>
      <c r="M616" s="3"/>
    </row>
    <row r="617" ht="12.75" customHeight="1">
      <c r="E617" s="2"/>
      <c r="F617" s="2"/>
      <c r="G617" s="2"/>
      <c r="H617" s="2"/>
      <c r="I617" s="2"/>
      <c r="J617" s="2"/>
      <c r="K617" s="2"/>
      <c r="L617" s="2"/>
      <c r="M617" s="3"/>
    </row>
    <row r="618" ht="12.75" customHeight="1">
      <c r="E618" s="2"/>
      <c r="F618" s="2"/>
      <c r="G618" s="2"/>
      <c r="H618" s="2"/>
      <c r="I618" s="2"/>
      <c r="J618" s="2"/>
      <c r="K618" s="2"/>
      <c r="L618" s="2"/>
      <c r="M618" s="3"/>
    </row>
    <row r="619" ht="12.75" customHeight="1">
      <c r="E619" s="2"/>
      <c r="F619" s="2"/>
      <c r="G619" s="2"/>
      <c r="H619" s="2"/>
      <c r="I619" s="2"/>
      <c r="J619" s="2"/>
      <c r="K619" s="2"/>
      <c r="L619" s="2"/>
      <c r="M619" s="3"/>
    </row>
    <row r="620" ht="12.75" customHeight="1">
      <c r="E620" s="2"/>
      <c r="F620" s="2"/>
      <c r="G620" s="2"/>
      <c r="H620" s="2"/>
      <c r="I620" s="2"/>
      <c r="J620" s="2"/>
      <c r="K620" s="2"/>
      <c r="L620" s="2"/>
      <c r="M620" s="3"/>
    </row>
    <row r="621" ht="12.75" customHeight="1">
      <c r="E621" s="2"/>
      <c r="F621" s="2"/>
      <c r="G621" s="2"/>
      <c r="H621" s="2"/>
      <c r="I621" s="2"/>
      <c r="J621" s="2"/>
      <c r="K621" s="2"/>
      <c r="L621" s="2"/>
      <c r="M621" s="3"/>
    </row>
    <row r="622" ht="12.75" customHeight="1">
      <c r="E622" s="2"/>
      <c r="F622" s="2"/>
      <c r="G622" s="2"/>
      <c r="H622" s="2"/>
      <c r="I622" s="2"/>
      <c r="J622" s="2"/>
      <c r="K622" s="2"/>
      <c r="L622" s="2"/>
      <c r="M622" s="3"/>
    </row>
    <row r="623" ht="12.75" customHeight="1">
      <c r="E623" s="2"/>
      <c r="F623" s="2"/>
      <c r="G623" s="2"/>
      <c r="H623" s="2"/>
      <c r="I623" s="2"/>
      <c r="J623" s="2"/>
      <c r="K623" s="2"/>
      <c r="L623" s="2"/>
      <c r="M623" s="3"/>
    </row>
    <row r="624" ht="12.75" customHeight="1">
      <c r="E624" s="2"/>
      <c r="F624" s="2"/>
      <c r="G624" s="2"/>
      <c r="H624" s="2"/>
      <c r="I624" s="2"/>
      <c r="J624" s="2"/>
      <c r="K624" s="2"/>
      <c r="L624" s="2"/>
      <c r="M624" s="3"/>
    </row>
    <row r="625" ht="12.75" customHeight="1">
      <c r="E625" s="2"/>
      <c r="F625" s="2"/>
      <c r="G625" s="2"/>
      <c r="H625" s="2"/>
      <c r="I625" s="2"/>
      <c r="J625" s="2"/>
      <c r="K625" s="2"/>
      <c r="L625" s="2"/>
      <c r="M625" s="3"/>
    </row>
    <row r="626" ht="12.75" customHeight="1">
      <c r="E626" s="2"/>
      <c r="F626" s="2"/>
      <c r="G626" s="2"/>
      <c r="H626" s="2"/>
      <c r="I626" s="2"/>
      <c r="J626" s="2"/>
      <c r="K626" s="2"/>
      <c r="L626" s="2"/>
      <c r="M626" s="3"/>
    </row>
    <row r="627" ht="12.75" customHeight="1">
      <c r="E627" s="2"/>
      <c r="F627" s="2"/>
      <c r="G627" s="2"/>
      <c r="H627" s="2"/>
      <c r="I627" s="2"/>
      <c r="J627" s="2"/>
      <c r="K627" s="2"/>
      <c r="L627" s="2"/>
      <c r="M627" s="3"/>
    </row>
    <row r="628" ht="12.75" customHeight="1">
      <c r="E628" s="2"/>
      <c r="F628" s="2"/>
      <c r="G628" s="2"/>
      <c r="H628" s="2"/>
      <c r="I628" s="2"/>
      <c r="J628" s="2"/>
      <c r="K628" s="2"/>
      <c r="L628" s="2"/>
      <c r="M628" s="3"/>
    </row>
    <row r="629" ht="12.75" customHeight="1">
      <c r="E629" s="2"/>
      <c r="F629" s="2"/>
      <c r="G629" s="2"/>
      <c r="H629" s="2"/>
      <c r="I629" s="2"/>
      <c r="J629" s="2"/>
      <c r="K629" s="2"/>
      <c r="L629" s="2"/>
      <c r="M629" s="3"/>
    </row>
    <row r="630" ht="12.75" customHeight="1">
      <c r="E630" s="2"/>
      <c r="F630" s="2"/>
      <c r="G630" s="2"/>
      <c r="H630" s="2"/>
      <c r="I630" s="2"/>
      <c r="J630" s="2"/>
      <c r="K630" s="2"/>
      <c r="L630" s="2"/>
      <c r="M630" s="3"/>
    </row>
    <row r="631" ht="12.75" customHeight="1">
      <c r="E631" s="2"/>
      <c r="F631" s="2"/>
      <c r="G631" s="2"/>
      <c r="H631" s="2"/>
      <c r="I631" s="2"/>
      <c r="J631" s="2"/>
      <c r="K631" s="2"/>
      <c r="L631" s="2"/>
      <c r="M631" s="3"/>
    </row>
    <row r="632" ht="12.75" customHeight="1">
      <c r="E632" s="2"/>
      <c r="F632" s="2"/>
      <c r="G632" s="2"/>
      <c r="H632" s="2"/>
      <c r="I632" s="2"/>
      <c r="J632" s="2"/>
      <c r="K632" s="2"/>
      <c r="L632" s="2"/>
      <c r="M632" s="3"/>
    </row>
    <row r="633" ht="12.75" customHeight="1">
      <c r="E633" s="2"/>
      <c r="F633" s="2"/>
      <c r="G633" s="2"/>
      <c r="H633" s="2"/>
      <c r="I633" s="2"/>
      <c r="J633" s="2"/>
      <c r="K633" s="2"/>
      <c r="L633" s="2"/>
      <c r="M633" s="3"/>
    </row>
    <row r="634" ht="12.75" customHeight="1">
      <c r="E634" s="2"/>
      <c r="F634" s="2"/>
      <c r="G634" s="2"/>
      <c r="H634" s="2"/>
      <c r="I634" s="2"/>
      <c r="J634" s="2"/>
      <c r="K634" s="2"/>
      <c r="L634" s="2"/>
      <c r="M634" s="3"/>
    </row>
    <row r="635" ht="12.75" customHeight="1">
      <c r="E635" s="2"/>
      <c r="F635" s="2"/>
      <c r="G635" s="2"/>
      <c r="H635" s="2"/>
      <c r="I635" s="2"/>
      <c r="J635" s="2"/>
      <c r="K635" s="2"/>
      <c r="L635" s="2"/>
      <c r="M635" s="3"/>
    </row>
    <row r="636" ht="12.75" customHeight="1">
      <c r="E636" s="2"/>
      <c r="F636" s="2"/>
      <c r="G636" s="2"/>
      <c r="H636" s="2"/>
      <c r="I636" s="2"/>
      <c r="J636" s="2"/>
      <c r="K636" s="2"/>
      <c r="L636" s="2"/>
      <c r="M636" s="3"/>
    </row>
    <row r="637" ht="12.75" customHeight="1">
      <c r="E637" s="2"/>
      <c r="F637" s="2"/>
      <c r="G637" s="2"/>
      <c r="H637" s="2"/>
      <c r="I637" s="2"/>
      <c r="J637" s="2"/>
      <c r="K637" s="2"/>
      <c r="L637" s="2"/>
      <c r="M637" s="3"/>
    </row>
    <row r="638" ht="12.75" customHeight="1">
      <c r="E638" s="2"/>
      <c r="F638" s="2"/>
      <c r="G638" s="2"/>
      <c r="H638" s="2"/>
      <c r="I638" s="2"/>
      <c r="J638" s="2"/>
      <c r="K638" s="2"/>
      <c r="L638" s="2"/>
      <c r="M638" s="3"/>
    </row>
    <row r="639" ht="12.75" customHeight="1">
      <c r="E639" s="2"/>
      <c r="F639" s="2"/>
      <c r="G639" s="2"/>
      <c r="H639" s="2"/>
      <c r="I639" s="2"/>
      <c r="J639" s="2"/>
      <c r="K639" s="2"/>
      <c r="L639" s="2"/>
      <c r="M639" s="3"/>
    </row>
    <row r="640" ht="12.75" customHeight="1">
      <c r="E640" s="2"/>
      <c r="F640" s="2"/>
      <c r="G640" s="2"/>
      <c r="H640" s="2"/>
      <c r="I640" s="2"/>
      <c r="J640" s="2"/>
      <c r="K640" s="2"/>
      <c r="L640" s="2"/>
      <c r="M640" s="3"/>
    </row>
    <row r="641" ht="12.75" customHeight="1">
      <c r="E641" s="2"/>
      <c r="F641" s="2"/>
      <c r="G641" s="2"/>
      <c r="H641" s="2"/>
      <c r="I641" s="2"/>
      <c r="J641" s="2"/>
      <c r="K641" s="2"/>
      <c r="L641" s="2"/>
      <c r="M641" s="3"/>
    </row>
    <row r="642" ht="12.75" customHeight="1">
      <c r="E642" s="2"/>
      <c r="F642" s="2"/>
      <c r="G642" s="2"/>
      <c r="H642" s="2"/>
      <c r="I642" s="2"/>
      <c r="J642" s="2"/>
      <c r="K642" s="2"/>
      <c r="L642" s="2"/>
      <c r="M642" s="3"/>
    </row>
    <row r="643" ht="12.75" customHeight="1">
      <c r="E643" s="2"/>
      <c r="F643" s="2"/>
      <c r="G643" s="2"/>
      <c r="H643" s="2"/>
      <c r="I643" s="2"/>
      <c r="J643" s="2"/>
      <c r="K643" s="2"/>
      <c r="L643" s="2"/>
      <c r="M643" s="3"/>
    </row>
    <row r="644" ht="12.75" customHeight="1">
      <c r="E644" s="2"/>
      <c r="F644" s="2"/>
      <c r="G644" s="2"/>
      <c r="H644" s="2"/>
      <c r="I644" s="2"/>
      <c r="J644" s="2"/>
      <c r="K644" s="2"/>
      <c r="L644" s="2"/>
      <c r="M644" s="3"/>
    </row>
    <row r="645" ht="12.75" customHeight="1">
      <c r="E645" s="2"/>
      <c r="F645" s="2"/>
      <c r="G645" s="2"/>
      <c r="H645" s="2"/>
      <c r="I645" s="2"/>
      <c r="J645" s="2"/>
      <c r="K645" s="2"/>
      <c r="L645" s="2"/>
      <c r="M645" s="3"/>
    </row>
    <row r="646" ht="12.75" customHeight="1">
      <c r="E646" s="2"/>
      <c r="F646" s="2"/>
      <c r="G646" s="2"/>
      <c r="H646" s="2"/>
      <c r="I646" s="2"/>
      <c r="J646" s="2"/>
      <c r="K646" s="2"/>
      <c r="L646" s="2"/>
      <c r="M646" s="3"/>
    </row>
    <row r="647" ht="12.75" customHeight="1">
      <c r="E647" s="2"/>
      <c r="F647" s="2"/>
      <c r="G647" s="2"/>
      <c r="H647" s="2"/>
      <c r="I647" s="2"/>
      <c r="J647" s="2"/>
      <c r="K647" s="2"/>
      <c r="L647" s="2"/>
      <c r="M647" s="3"/>
    </row>
    <row r="648" ht="12.75" customHeight="1">
      <c r="E648" s="2"/>
      <c r="F648" s="2"/>
      <c r="G648" s="2"/>
      <c r="H648" s="2"/>
      <c r="I648" s="2"/>
      <c r="J648" s="2"/>
      <c r="K648" s="2"/>
      <c r="L648" s="2"/>
      <c r="M648" s="3"/>
    </row>
    <row r="649" ht="12.75" customHeight="1">
      <c r="E649" s="2"/>
      <c r="F649" s="2"/>
      <c r="G649" s="2"/>
      <c r="H649" s="2"/>
      <c r="I649" s="2"/>
      <c r="J649" s="2"/>
      <c r="K649" s="2"/>
      <c r="L649" s="2"/>
      <c r="M649" s="3"/>
    </row>
    <row r="650" ht="12.75" customHeight="1">
      <c r="E650" s="2"/>
      <c r="F650" s="2"/>
      <c r="G650" s="2"/>
      <c r="H650" s="2"/>
      <c r="I650" s="2"/>
      <c r="J650" s="2"/>
      <c r="K650" s="2"/>
      <c r="L650" s="2"/>
      <c r="M650" s="3"/>
    </row>
    <row r="651" ht="12.75" customHeight="1">
      <c r="E651" s="2"/>
      <c r="F651" s="2"/>
      <c r="G651" s="2"/>
      <c r="H651" s="2"/>
      <c r="I651" s="2"/>
      <c r="J651" s="2"/>
      <c r="K651" s="2"/>
      <c r="L651" s="2"/>
      <c r="M651" s="3"/>
    </row>
    <row r="652" ht="12.75" customHeight="1">
      <c r="E652" s="2"/>
      <c r="F652" s="2"/>
      <c r="G652" s="2"/>
      <c r="H652" s="2"/>
      <c r="I652" s="2"/>
      <c r="J652" s="2"/>
      <c r="K652" s="2"/>
      <c r="L652" s="2"/>
      <c r="M652" s="3"/>
    </row>
    <row r="653" ht="12.75" customHeight="1">
      <c r="E653" s="2"/>
      <c r="F653" s="2"/>
      <c r="G653" s="2"/>
      <c r="H653" s="2"/>
      <c r="I653" s="2"/>
      <c r="J653" s="2"/>
      <c r="K653" s="2"/>
      <c r="L653" s="2"/>
      <c r="M653" s="3"/>
    </row>
    <row r="654" ht="12.75" customHeight="1">
      <c r="E654" s="2"/>
      <c r="F654" s="2"/>
      <c r="G654" s="2"/>
      <c r="H654" s="2"/>
      <c r="I654" s="2"/>
      <c r="J654" s="2"/>
      <c r="K654" s="2"/>
      <c r="L654" s="2"/>
      <c r="M654" s="3"/>
    </row>
    <row r="655" ht="12.75" customHeight="1">
      <c r="E655" s="2"/>
      <c r="F655" s="2"/>
      <c r="G655" s="2"/>
      <c r="H655" s="2"/>
      <c r="I655" s="2"/>
      <c r="J655" s="2"/>
      <c r="K655" s="2"/>
      <c r="L655" s="2"/>
      <c r="M655" s="3"/>
    </row>
    <row r="656" ht="12.75" customHeight="1">
      <c r="E656" s="2"/>
      <c r="F656" s="2"/>
      <c r="G656" s="2"/>
      <c r="H656" s="2"/>
      <c r="I656" s="2"/>
      <c r="J656" s="2"/>
      <c r="K656" s="2"/>
      <c r="L656" s="2"/>
      <c r="M656" s="3"/>
    </row>
    <row r="657" ht="12.75" customHeight="1">
      <c r="E657" s="2"/>
      <c r="F657" s="2"/>
      <c r="G657" s="2"/>
      <c r="H657" s="2"/>
      <c r="I657" s="2"/>
      <c r="J657" s="2"/>
      <c r="K657" s="2"/>
      <c r="L657" s="2"/>
      <c r="M657" s="3"/>
    </row>
    <row r="658" ht="12.75" customHeight="1">
      <c r="E658" s="2"/>
      <c r="F658" s="2"/>
      <c r="G658" s="2"/>
      <c r="H658" s="2"/>
      <c r="I658" s="2"/>
      <c r="J658" s="2"/>
      <c r="K658" s="2"/>
      <c r="L658" s="2"/>
      <c r="M658" s="3"/>
    </row>
    <row r="659" ht="12.75" customHeight="1">
      <c r="E659" s="2"/>
      <c r="F659" s="2"/>
      <c r="G659" s="2"/>
      <c r="H659" s="2"/>
      <c r="I659" s="2"/>
      <c r="J659" s="2"/>
      <c r="K659" s="2"/>
      <c r="L659" s="2"/>
      <c r="M659" s="3"/>
    </row>
    <row r="660" ht="12.75" customHeight="1">
      <c r="E660" s="2"/>
      <c r="F660" s="2"/>
      <c r="G660" s="2"/>
      <c r="H660" s="2"/>
      <c r="I660" s="2"/>
      <c r="J660" s="2"/>
      <c r="K660" s="2"/>
      <c r="L660" s="2"/>
      <c r="M660" s="3"/>
    </row>
    <row r="661" ht="12.75" customHeight="1">
      <c r="E661" s="2"/>
      <c r="F661" s="2"/>
      <c r="G661" s="2"/>
      <c r="H661" s="2"/>
      <c r="I661" s="2"/>
      <c r="J661" s="2"/>
      <c r="K661" s="2"/>
      <c r="L661" s="2"/>
      <c r="M661" s="3"/>
    </row>
    <row r="662" ht="12.75" customHeight="1">
      <c r="E662" s="2"/>
      <c r="F662" s="2"/>
      <c r="G662" s="2"/>
      <c r="H662" s="2"/>
      <c r="I662" s="2"/>
      <c r="J662" s="2"/>
      <c r="K662" s="2"/>
      <c r="L662" s="2"/>
      <c r="M662" s="3"/>
    </row>
    <row r="663" ht="12.75" customHeight="1">
      <c r="E663" s="2"/>
      <c r="F663" s="2"/>
      <c r="G663" s="2"/>
      <c r="H663" s="2"/>
      <c r="I663" s="2"/>
      <c r="J663" s="2"/>
      <c r="K663" s="2"/>
      <c r="L663" s="2"/>
      <c r="M663" s="3"/>
    </row>
    <row r="664" ht="12.75" customHeight="1">
      <c r="E664" s="2"/>
      <c r="F664" s="2"/>
      <c r="G664" s="2"/>
      <c r="H664" s="2"/>
      <c r="I664" s="2"/>
      <c r="J664" s="2"/>
      <c r="K664" s="2"/>
      <c r="L664" s="2"/>
      <c r="M664" s="3"/>
    </row>
    <row r="665" ht="12.75" customHeight="1">
      <c r="E665" s="2"/>
      <c r="F665" s="2"/>
      <c r="G665" s="2"/>
      <c r="H665" s="2"/>
      <c r="I665" s="2"/>
      <c r="J665" s="2"/>
      <c r="K665" s="2"/>
      <c r="L665" s="2"/>
      <c r="M665" s="3"/>
    </row>
    <row r="666" ht="12.75" customHeight="1">
      <c r="E666" s="2"/>
      <c r="F666" s="2"/>
      <c r="G666" s="2"/>
      <c r="H666" s="2"/>
      <c r="I666" s="2"/>
      <c r="J666" s="2"/>
      <c r="K666" s="2"/>
      <c r="L666" s="2"/>
      <c r="M666" s="3"/>
    </row>
    <row r="667" ht="12.75" customHeight="1">
      <c r="E667" s="2"/>
      <c r="F667" s="2"/>
      <c r="G667" s="2"/>
      <c r="H667" s="2"/>
      <c r="I667" s="2"/>
      <c r="J667" s="2"/>
      <c r="K667" s="2"/>
      <c r="L667" s="2"/>
      <c r="M667" s="3"/>
    </row>
    <row r="668" ht="12.75" customHeight="1">
      <c r="E668" s="2"/>
      <c r="F668" s="2"/>
      <c r="G668" s="2"/>
      <c r="H668" s="2"/>
      <c r="I668" s="2"/>
      <c r="J668" s="2"/>
      <c r="K668" s="2"/>
      <c r="L668" s="2"/>
      <c r="M668" s="3"/>
    </row>
    <row r="669" ht="12.75" customHeight="1">
      <c r="E669" s="2"/>
      <c r="F669" s="2"/>
      <c r="G669" s="2"/>
      <c r="H669" s="2"/>
      <c r="I669" s="2"/>
      <c r="J669" s="2"/>
      <c r="K669" s="2"/>
      <c r="L669" s="2"/>
      <c r="M669" s="3"/>
    </row>
    <row r="670" ht="12.75" customHeight="1">
      <c r="E670" s="2"/>
      <c r="F670" s="2"/>
      <c r="G670" s="2"/>
      <c r="H670" s="2"/>
      <c r="I670" s="2"/>
      <c r="J670" s="2"/>
      <c r="K670" s="2"/>
      <c r="L670" s="2"/>
      <c r="M670" s="3"/>
    </row>
    <row r="671" ht="12.75" customHeight="1">
      <c r="E671" s="2"/>
      <c r="F671" s="2"/>
      <c r="G671" s="2"/>
      <c r="H671" s="2"/>
      <c r="I671" s="2"/>
      <c r="J671" s="2"/>
      <c r="K671" s="2"/>
      <c r="L671" s="2"/>
      <c r="M671" s="3"/>
    </row>
    <row r="672" ht="12.75" customHeight="1">
      <c r="E672" s="2"/>
      <c r="F672" s="2"/>
      <c r="G672" s="2"/>
      <c r="H672" s="2"/>
      <c r="I672" s="2"/>
      <c r="J672" s="2"/>
      <c r="K672" s="2"/>
      <c r="L672" s="2"/>
      <c r="M672" s="3"/>
    </row>
    <row r="673" ht="12.75" customHeight="1">
      <c r="E673" s="2"/>
      <c r="F673" s="2"/>
      <c r="G673" s="2"/>
      <c r="H673" s="2"/>
      <c r="I673" s="2"/>
      <c r="J673" s="2"/>
      <c r="K673" s="2"/>
      <c r="L673" s="2"/>
      <c r="M673" s="3"/>
    </row>
    <row r="674" ht="12.75" customHeight="1">
      <c r="E674" s="2"/>
      <c r="F674" s="2"/>
      <c r="G674" s="2"/>
      <c r="H674" s="2"/>
      <c r="I674" s="2"/>
      <c r="J674" s="2"/>
      <c r="K674" s="2"/>
      <c r="L674" s="2"/>
      <c r="M674" s="3"/>
    </row>
    <row r="675" ht="12.75" customHeight="1">
      <c r="E675" s="2"/>
      <c r="F675" s="2"/>
      <c r="G675" s="2"/>
      <c r="H675" s="2"/>
      <c r="I675" s="2"/>
      <c r="J675" s="2"/>
      <c r="K675" s="2"/>
      <c r="L675" s="2"/>
      <c r="M675" s="3"/>
    </row>
    <row r="676" ht="12.75" customHeight="1">
      <c r="E676" s="2"/>
      <c r="F676" s="2"/>
      <c r="G676" s="2"/>
      <c r="H676" s="2"/>
      <c r="I676" s="2"/>
      <c r="J676" s="2"/>
      <c r="K676" s="2"/>
      <c r="L676" s="2"/>
      <c r="M676" s="3"/>
    </row>
    <row r="677" ht="12.75" customHeight="1">
      <c r="E677" s="2"/>
      <c r="F677" s="2"/>
      <c r="G677" s="2"/>
      <c r="H677" s="2"/>
      <c r="I677" s="2"/>
      <c r="J677" s="2"/>
      <c r="K677" s="2"/>
      <c r="L677" s="2"/>
      <c r="M677" s="3"/>
    </row>
    <row r="678" ht="12.75" customHeight="1">
      <c r="E678" s="2"/>
      <c r="F678" s="2"/>
      <c r="G678" s="2"/>
      <c r="H678" s="2"/>
      <c r="I678" s="2"/>
      <c r="J678" s="2"/>
      <c r="K678" s="2"/>
      <c r="L678" s="2"/>
      <c r="M678" s="3"/>
    </row>
    <row r="679" ht="12.75" customHeight="1">
      <c r="E679" s="2"/>
      <c r="F679" s="2"/>
      <c r="G679" s="2"/>
      <c r="H679" s="2"/>
      <c r="I679" s="2"/>
      <c r="J679" s="2"/>
      <c r="K679" s="2"/>
      <c r="L679" s="2"/>
      <c r="M679" s="3"/>
    </row>
    <row r="680" ht="12.75" customHeight="1">
      <c r="E680" s="2"/>
      <c r="F680" s="2"/>
      <c r="G680" s="2"/>
      <c r="H680" s="2"/>
      <c r="I680" s="2"/>
      <c r="J680" s="2"/>
      <c r="K680" s="2"/>
      <c r="L680" s="2"/>
      <c r="M680" s="3"/>
    </row>
    <row r="681" ht="12.75" customHeight="1">
      <c r="E681" s="2"/>
      <c r="F681" s="2"/>
      <c r="G681" s="2"/>
      <c r="H681" s="2"/>
      <c r="I681" s="2"/>
      <c r="J681" s="2"/>
      <c r="K681" s="2"/>
      <c r="L681" s="2"/>
      <c r="M681" s="3"/>
    </row>
    <row r="682" ht="12.75" customHeight="1">
      <c r="E682" s="2"/>
      <c r="F682" s="2"/>
      <c r="G682" s="2"/>
      <c r="H682" s="2"/>
      <c r="I682" s="2"/>
      <c r="J682" s="2"/>
      <c r="K682" s="2"/>
      <c r="L682" s="2"/>
      <c r="M682" s="3"/>
    </row>
    <row r="683" ht="12.75" customHeight="1">
      <c r="E683" s="2"/>
      <c r="F683" s="2"/>
      <c r="G683" s="2"/>
      <c r="H683" s="2"/>
      <c r="I683" s="2"/>
      <c r="J683" s="2"/>
      <c r="K683" s="2"/>
      <c r="L683" s="2"/>
      <c r="M683" s="3"/>
    </row>
    <row r="684" ht="12.75" customHeight="1">
      <c r="E684" s="2"/>
      <c r="F684" s="2"/>
      <c r="G684" s="2"/>
      <c r="H684" s="2"/>
      <c r="I684" s="2"/>
      <c r="J684" s="2"/>
      <c r="K684" s="2"/>
      <c r="L684" s="2"/>
      <c r="M684" s="3"/>
    </row>
    <row r="685" ht="12.75" customHeight="1">
      <c r="E685" s="2"/>
      <c r="F685" s="2"/>
      <c r="G685" s="2"/>
      <c r="H685" s="2"/>
      <c r="I685" s="2"/>
      <c r="J685" s="2"/>
      <c r="K685" s="2"/>
      <c r="L685" s="2"/>
      <c r="M685" s="3"/>
    </row>
    <row r="686" ht="12.75" customHeight="1">
      <c r="E686" s="2"/>
      <c r="F686" s="2"/>
      <c r="G686" s="2"/>
      <c r="H686" s="2"/>
      <c r="I686" s="2"/>
      <c r="J686" s="2"/>
      <c r="K686" s="2"/>
      <c r="L686" s="2"/>
      <c r="M686" s="3"/>
    </row>
    <row r="687" ht="12.75" customHeight="1">
      <c r="E687" s="2"/>
      <c r="F687" s="2"/>
      <c r="G687" s="2"/>
      <c r="H687" s="2"/>
      <c r="I687" s="2"/>
      <c r="J687" s="2"/>
      <c r="K687" s="2"/>
      <c r="L687" s="2"/>
      <c r="M687" s="3"/>
    </row>
    <row r="688" ht="12.75" customHeight="1">
      <c r="E688" s="2"/>
      <c r="F688" s="2"/>
      <c r="G688" s="2"/>
      <c r="H688" s="2"/>
      <c r="I688" s="2"/>
      <c r="J688" s="2"/>
      <c r="K688" s="2"/>
      <c r="L688" s="2"/>
      <c r="M688" s="3"/>
    </row>
    <row r="689" ht="12.75" customHeight="1">
      <c r="E689" s="2"/>
      <c r="F689" s="2"/>
      <c r="G689" s="2"/>
      <c r="H689" s="2"/>
      <c r="I689" s="2"/>
      <c r="J689" s="2"/>
      <c r="K689" s="2"/>
      <c r="L689" s="2"/>
      <c r="M689" s="3"/>
    </row>
    <row r="690" ht="12.75" customHeight="1">
      <c r="E690" s="2"/>
      <c r="F690" s="2"/>
      <c r="G690" s="2"/>
      <c r="H690" s="2"/>
      <c r="I690" s="2"/>
      <c r="J690" s="2"/>
      <c r="K690" s="2"/>
      <c r="L690" s="2"/>
      <c r="M690" s="3"/>
    </row>
    <row r="691" ht="12.75" customHeight="1">
      <c r="E691" s="2"/>
      <c r="F691" s="2"/>
      <c r="G691" s="2"/>
      <c r="H691" s="2"/>
      <c r="I691" s="2"/>
      <c r="J691" s="2"/>
      <c r="K691" s="2"/>
      <c r="L691" s="2"/>
      <c r="M691" s="3"/>
    </row>
    <row r="692" ht="12.75" customHeight="1">
      <c r="E692" s="2"/>
      <c r="F692" s="2"/>
      <c r="G692" s="2"/>
      <c r="H692" s="2"/>
      <c r="I692" s="2"/>
      <c r="J692" s="2"/>
      <c r="K692" s="2"/>
      <c r="L692" s="2"/>
      <c r="M692" s="3"/>
    </row>
    <row r="693" ht="12.75" customHeight="1">
      <c r="E693" s="2"/>
      <c r="F693" s="2"/>
      <c r="G693" s="2"/>
      <c r="H693" s="2"/>
      <c r="I693" s="2"/>
      <c r="J693" s="2"/>
      <c r="K693" s="2"/>
      <c r="L693" s="2"/>
      <c r="M693" s="3"/>
    </row>
    <row r="694" ht="12.75" customHeight="1">
      <c r="E694" s="2"/>
      <c r="F694" s="2"/>
      <c r="G694" s="2"/>
      <c r="H694" s="2"/>
      <c r="I694" s="2"/>
      <c r="J694" s="2"/>
      <c r="K694" s="2"/>
      <c r="L694" s="2"/>
      <c r="M694" s="3"/>
    </row>
    <row r="695" ht="12.75" customHeight="1">
      <c r="E695" s="2"/>
      <c r="F695" s="2"/>
      <c r="G695" s="2"/>
      <c r="H695" s="2"/>
      <c r="I695" s="2"/>
      <c r="J695" s="2"/>
      <c r="K695" s="2"/>
      <c r="L695" s="2"/>
      <c r="M695" s="3"/>
    </row>
    <row r="696" ht="12.75" customHeight="1">
      <c r="E696" s="2"/>
      <c r="F696" s="2"/>
      <c r="G696" s="2"/>
      <c r="H696" s="2"/>
      <c r="I696" s="2"/>
      <c r="J696" s="2"/>
      <c r="K696" s="2"/>
      <c r="L696" s="2"/>
      <c r="M696" s="3"/>
    </row>
    <row r="697" ht="12.75" customHeight="1">
      <c r="E697" s="2"/>
      <c r="F697" s="2"/>
      <c r="G697" s="2"/>
      <c r="H697" s="2"/>
      <c r="I697" s="2"/>
      <c r="J697" s="2"/>
      <c r="K697" s="2"/>
      <c r="L697" s="2"/>
      <c r="M697" s="3"/>
    </row>
    <row r="698" ht="12.75" customHeight="1">
      <c r="E698" s="2"/>
      <c r="F698" s="2"/>
      <c r="G698" s="2"/>
      <c r="H698" s="2"/>
      <c r="I698" s="2"/>
      <c r="J698" s="2"/>
      <c r="K698" s="2"/>
      <c r="L698" s="2"/>
      <c r="M698" s="3"/>
    </row>
    <row r="699" ht="12.75" customHeight="1">
      <c r="E699" s="2"/>
      <c r="F699" s="2"/>
      <c r="G699" s="2"/>
      <c r="H699" s="2"/>
      <c r="I699" s="2"/>
      <c r="J699" s="2"/>
      <c r="K699" s="2"/>
      <c r="L699" s="2"/>
      <c r="M699" s="3"/>
    </row>
    <row r="700" ht="12.75" customHeight="1">
      <c r="E700" s="2"/>
      <c r="F700" s="2"/>
      <c r="G700" s="2"/>
      <c r="H700" s="2"/>
      <c r="I700" s="2"/>
      <c r="J700" s="2"/>
      <c r="K700" s="2"/>
      <c r="L700" s="2"/>
      <c r="M700" s="3"/>
    </row>
    <row r="701" ht="12.75" customHeight="1">
      <c r="E701" s="2"/>
      <c r="F701" s="2"/>
      <c r="G701" s="2"/>
      <c r="H701" s="2"/>
      <c r="I701" s="2"/>
      <c r="J701" s="2"/>
      <c r="K701" s="2"/>
      <c r="L701" s="2"/>
      <c r="M701" s="3"/>
    </row>
    <row r="702" ht="12.75" customHeight="1">
      <c r="E702" s="2"/>
      <c r="F702" s="2"/>
      <c r="G702" s="2"/>
      <c r="H702" s="2"/>
      <c r="I702" s="2"/>
      <c r="J702" s="2"/>
      <c r="K702" s="2"/>
      <c r="L702" s="2"/>
      <c r="M702" s="3"/>
    </row>
    <row r="703" ht="12.75" customHeight="1">
      <c r="E703" s="2"/>
      <c r="F703" s="2"/>
      <c r="G703" s="2"/>
      <c r="H703" s="2"/>
      <c r="I703" s="2"/>
      <c r="J703" s="2"/>
      <c r="K703" s="2"/>
      <c r="L703" s="2"/>
      <c r="M703" s="3"/>
    </row>
    <row r="704" ht="12.75" customHeight="1">
      <c r="E704" s="2"/>
      <c r="F704" s="2"/>
      <c r="G704" s="2"/>
      <c r="H704" s="2"/>
      <c r="I704" s="2"/>
      <c r="J704" s="2"/>
      <c r="K704" s="2"/>
      <c r="L704" s="2"/>
      <c r="M704" s="3"/>
    </row>
    <row r="705" ht="12.75" customHeight="1">
      <c r="E705" s="2"/>
      <c r="F705" s="2"/>
      <c r="G705" s="2"/>
      <c r="H705" s="2"/>
      <c r="I705" s="2"/>
      <c r="J705" s="2"/>
      <c r="K705" s="2"/>
      <c r="L705" s="2"/>
      <c r="M705" s="3"/>
    </row>
    <row r="706" ht="12.75" customHeight="1">
      <c r="E706" s="2"/>
      <c r="F706" s="2"/>
      <c r="G706" s="2"/>
      <c r="H706" s="2"/>
      <c r="I706" s="2"/>
      <c r="J706" s="2"/>
      <c r="K706" s="2"/>
      <c r="L706" s="2"/>
      <c r="M706" s="3"/>
    </row>
    <row r="707" ht="12.75" customHeight="1">
      <c r="E707" s="2"/>
      <c r="F707" s="2"/>
      <c r="G707" s="2"/>
      <c r="H707" s="2"/>
      <c r="I707" s="2"/>
      <c r="J707" s="2"/>
      <c r="K707" s="2"/>
      <c r="L707" s="2"/>
      <c r="M707" s="3"/>
    </row>
    <row r="708" ht="12.75" customHeight="1">
      <c r="E708" s="2"/>
      <c r="F708" s="2"/>
      <c r="G708" s="2"/>
      <c r="H708" s="2"/>
      <c r="I708" s="2"/>
      <c r="J708" s="2"/>
      <c r="K708" s="2"/>
      <c r="L708" s="2"/>
      <c r="M708" s="3"/>
    </row>
    <row r="709" ht="12.75" customHeight="1">
      <c r="E709" s="2"/>
      <c r="F709" s="2"/>
      <c r="G709" s="2"/>
      <c r="H709" s="2"/>
      <c r="I709" s="2"/>
      <c r="J709" s="2"/>
      <c r="K709" s="2"/>
      <c r="L709" s="2"/>
      <c r="M709" s="3"/>
    </row>
    <row r="710" ht="12.75" customHeight="1">
      <c r="E710" s="2"/>
      <c r="F710" s="2"/>
      <c r="G710" s="2"/>
      <c r="H710" s="2"/>
      <c r="I710" s="2"/>
      <c r="J710" s="2"/>
      <c r="K710" s="2"/>
      <c r="L710" s="2"/>
      <c r="M710" s="3"/>
    </row>
    <row r="711" ht="12.75" customHeight="1">
      <c r="E711" s="2"/>
      <c r="F711" s="2"/>
      <c r="G711" s="2"/>
      <c r="H711" s="2"/>
      <c r="I711" s="2"/>
      <c r="J711" s="2"/>
      <c r="K711" s="2"/>
      <c r="L711" s="2"/>
      <c r="M711" s="3"/>
    </row>
    <row r="712" ht="12.75" customHeight="1">
      <c r="E712" s="2"/>
      <c r="F712" s="2"/>
      <c r="G712" s="2"/>
      <c r="H712" s="2"/>
      <c r="I712" s="2"/>
      <c r="J712" s="2"/>
      <c r="K712" s="2"/>
      <c r="L712" s="2"/>
      <c r="M712" s="3"/>
    </row>
    <row r="713" ht="12.75" customHeight="1">
      <c r="E713" s="2"/>
      <c r="F713" s="2"/>
      <c r="G713" s="2"/>
      <c r="H713" s="2"/>
      <c r="I713" s="2"/>
      <c r="J713" s="2"/>
      <c r="K713" s="2"/>
      <c r="L713" s="2"/>
      <c r="M713" s="3"/>
    </row>
    <row r="714" ht="12.75" customHeight="1">
      <c r="E714" s="2"/>
      <c r="F714" s="2"/>
      <c r="G714" s="2"/>
      <c r="H714" s="2"/>
      <c r="I714" s="2"/>
      <c r="J714" s="2"/>
      <c r="K714" s="2"/>
      <c r="L714" s="2"/>
      <c r="M714" s="3"/>
    </row>
    <row r="715" ht="12.75" customHeight="1">
      <c r="E715" s="2"/>
      <c r="F715" s="2"/>
      <c r="G715" s="2"/>
      <c r="H715" s="2"/>
      <c r="I715" s="2"/>
      <c r="J715" s="2"/>
      <c r="K715" s="2"/>
      <c r="L715" s="2"/>
      <c r="M715" s="3"/>
    </row>
    <row r="716" ht="12.75" customHeight="1">
      <c r="E716" s="2"/>
      <c r="F716" s="2"/>
      <c r="G716" s="2"/>
      <c r="H716" s="2"/>
      <c r="I716" s="2"/>
      <c r="J716" s="2"/>
      <c r="K716" s="2"/>
      <c r="L716" s="2"/>
      <c r="M716" s="3"/>
    </row>
    <row r="717" ht="12.75" customHeight="1">
      <c r="E717" s="2"/>
      <c r="F717" s="2"/>
      <c r="G717" s="2"/>
      <c r="H717" s="2"/>
      <c r="I717" s="2"/>
      <c r="J717" s="2"/>
      <c r="K717" s="2"/>
      <c r="L717" s="2"/>
      <c r="M717" s="3"/>
    </row>
    <row r="718" ht="12.75" customHeight="1">
      <c r="E718" s="2"/>
      <c r="F718" s="2"/>
      <c r="G718" s="2"/>
      <c r="H718" s="2"/>
      <c r="I718" s="2"/>
      <c r="J718" s="2"/>
      <c r="K718" s="2"/>
      <c r="L718" s="2"/>
      <c r="M718" s="3"/>
    </row>
    <row r="719" ht="12.75" customHeight="1">
      <c r="E719" s="2"/>
      <c r="F719" s="2"/>
      <c r="G719" s="2"/>
      <c r="H719" s="2"/>
      <c r="I719" s="2"/>
      <c r="J719" s="2"/>
      <c r="K719" s="2"/>
      <c r="L719" s="2"/>
      <c r="M719" s="3"/>
    </row>
    <row r="720" ht="12.75" customHeight="1">
      <c r="E720" s="2"/>
      <c r="F720" s="2"/>
      <c r="G720" s="2"/>
      <c r="H720" s="2"/>
      <c r="I720" s="2"/>
      <c r="J720" s="2"/>
      <c r="K720" s="2"/>
      <c r="L720" s="2"/>
      <c r="M720" s="3"/>
    </row>
    <row r="721" ht="12.75" customHeight="1">
      <c r="E721" s="2"/>
      <c r="F721" s="2"/>
      <c r="G721" s="2"/>
      <c r="H721" s="2"/>
      <c r="I721" s="2"/>
      <c r="J721" s="2"/>
      <c r="K721" s="2"/>
      <c r="L721" s="2"/>
      <c r="M721" s="3"/>
    </row>
    <row r="722" ht="12.75" customHeight="1">
      <c r="E722" s="2"/>
      <c r="F722" s="2"/>
      <c r="G722" s="2"/>
      <c r="H722" s="2"/>
      <c r="I722" s="2"/>
      <c r="J722" s="2"/>
      <c r="K722" s="2"/>
      <c r="L722" s="2"/>
      <c r="M722" s="3"/>
    </row>
    <row r="723" ht="12.75" customHeight="1">
      <c r="E723" s="2"/>
      <c r="F723" s="2"/>
      <c r="G723" s="2"/>
      <c r="H723" s="2"/>
      <c r="I723" s="2"/>
      <c r="J723" s="2"/>
      <c r="K723" s="2"/>
      <c r="L723" s="2"/>
      <c r="M723" s="3"/>
    </row>
    <row r="724" ht="12.75" customHeight="1">
      <c r="E724" s="2"/>
      <c r="F724" s="2"/>
      <c r="G724" s="2"/>
      <c r="H724" s="2"/>
      <c r="I724" s="2"/>
      <c r="J724" s="2"/>
      <c r="K724" s="2"/>
      <c r="L724" s="2"/>
      <c r="M724" s="3"/>
    </row>
    <row r="725" ht="12.75" customHeight="1">
      <c r="E725" s="2"/>
      <c r="F725" s="2"/>
      <c r="G725" s="2"/>
      <c r="H725" s="2"/>
      <c r="I725" s="2"/>
      <c r="J725" s="2"/>
      <c r="K725" s="2"/>
      <c r="L725" s="2"/>
      <c r="M725" s="3"/>
    </row>
    <row r="726" ht="12.75" customHeight="1">
      <c r="E726" s="2"/>
      <c r="F726" s="2"/>
      <c r="G726" s="2"/>
      <c r="H726" s="2"/>
      <c r="I726" s="2"/>
      <c r="J726" s="2"/>
      <c r="K726" s="2"/>
      <c r="L726" s="2"/>
      <c r="M726" s="3"/>
    </row>
    <row r="727" ht="12.75" customHeight="1">
      <c r="E727" s="2"/>
      <c r="F727" s="2"/>
      <c r="G727" s="2"/>
      <c r="H727" s="2"/>
      <c r="I727" s="2"/>
      <c r="J727" s="2"/>
      <c r="K727" s="2"/>
      <c r="L727" s="2"/>
      <c r="M727" s="3"/>
    </row>
    <row r="728" ht="12.75" customHeight="1">
      <c r="E728" s="2"/>
      <c r="F728" s="2"/>
      <c r="G728" s="2"/>
      <c r="H728" s="2"/>
      <c r="I728" s="2"/>
      <c r="J728" s="2"/>
      <c r="K728" s="2"/>
      <c r="L728" s="2"/>
      <c r="M728" s="3"/>
    </row>
    <row r="729" ht="12.75" customHeight="1">
      <c r="E729" s="2"/>
      <c r="F729" s="2"/>
      <c r="G729" s="2"/>
      <c r="H729" s="2"/>
      <c r="I729" s="2"/>
      <c r="J729" s="2"/>
      <c r="K729" s="2"/>
      <c r="L729" s="2"/>
      <c r="M729" s="3"/>
    </row>
    <row r="730" ht="12.75" customHeight="1">
      <c r="E730" s="2"/>
      <c r="F730" s="2"/>
      <c r="G730" s="2"/>
      <c r="H730" s="2"/>
      <c r="I730" s="2"/>
      <c r="J730" s="2"/>
      <c r="K730" s="2"/>
      <c r="L730" s="2"/>
      <c r="M730" s="3"/>
    </row>
    <row r="731" ht="12.75" customHeight="1">
      <c r="E731" s="2"/>
      <c r="F731" s="2"/>
      <c r="G731" s="2"/>
      <c r="H731" s="2"/>
      <c r="I731" s="2"/>
      <c r="J731" s="2"/>
      <c r="K731" s="2"/>
      <c r="L731" s="2"/>
      <c r="M731" s="3"/>
    </row>
    <row r="732" ht="12.75" customHeight="1">
      <c r="E732" s="2"/>
      <c r="F732" s="2"/>
      <c r="G732" s="2"/>
      <c r="H732" s="2"/>
      <c r="I732" s="2"/>
      <c r="J732" s="2"/>
      <c r="K732" s="2"/>
      <c r="L732" s="2"/>
      <c r="M732" s="3"/>
    </row>
    <row r="733" ht="12.75" customHeight="1">
      <c r="E733" s="2"/>
      <c r="F733" s="2"/>
      <c r="G733" s="2"/>
      <c r="H733" s="2"/>
      <c r="I733" s="2"/>
      <c r="J733" s="2"/>
      <c r="K733" s="2"/>
      <c r="L733" s="2"/>
      <c r="M733" s="3"/>
    </row>
    <row r="734" ht="12.75" customHeight="1">
      <c r="E734" s="2"/>
      <c r="F734" s="2"/>
      <c r="G734" s="2"/>
      <c r="H734" s="2"/>
      <c r="I734" s="2"/>
      <c r="J734" s="2"/>
      <c r="K734" s="2"/>
      <c r="L734" s="2"/>
      <c r="M734" s="3"/>
    </row>
    <row r="735" ht="12.75" customHeight="1">
      <c r="E735" s="2"/>
      <c r="F735" s="2"/>
      <c r="G735" s="2"/>
      <c r="H735" s="2"/>
      <c r="I735" s="2"/>
      <c r="J735" s="2"/>
      <c r="K735" s="2"/>
      <c r="L735" s="2"/>
      <c r="M735" s="3"/>
    </row>
    <row r="736" ht="12.75" customHeight="1">
      <c r="E736" s="2"/>
      <c r="F736" s="2"/>
      <c r="G736" s="2"/>
      <c r="H736" s="2"/>
      <c r="I736" s="2"/>
      <c r="J736" s="2"/>
      <c r="K736" s="2"/>
      <c r="L736" s="2"/>
      <c r="M736" s="3"/>
    </row>
    <row r="737" ht="12.75" customHeight="1">
      <c r="E737" s="2"/>
      <c r="F737" s="2"/>
      <c r="G737" s="2"/>
      <c r="H737" s="2"/>
      <c r="I737" s="2"/>
      <c r="J737" s="2"/>
      <c r="K737" s="2"/>
      <c r="L737" s="2"/>
      <c r="M737" s="3"/>
    </row>
    <row r="738" ht="12.75" customHeight="1">
      <c r="E738" s="2"/>
      <c r="F738" s="2"/>
      <c r="G738" s="2"/>
      <c r="H738" s="2"/>
      <c r="I738" s="2"/>
      <c r="J738" s="2"/>
      <c r="K738" s="2"/>
      <c r="L738" s="2"/>
      <c r="M738" s="3"/>
    </row>
    <row r="739" ht="12.75" customHeight="1">
      <c r="E739" s="2"/>
      <c r="F739" s="2"/>
      <c r="G739" s="2"/>
      <c r="H739" s="2"/>
      <c r="I739" s="2"/>
      <c r="J739" s="2"/>
      <c r="K739" s="2"/>
      <c r="L739" s="2"/>
      <c r="M739" s="3"/>
    </row>
    <row r="740" ht="12.75" customHeight="1">
      <c r="E740" s="2"/>
      <c r="F740" s="2"/>
      <c r="G740" s="2"/>
      <c r="H740" s="2"/>
      <c r="I740" s="2"/>
      <c r="J740" s="2"/>
      <c r="K740" s="2"/>
      <c r="L740" s="2"/>
      <c r="M740" s="3"/>
    </row>
    <row r="741" ht="12.75" customHeight="1">
      <c r="E741" s="2"/>
      <c r="F741" s="2"/>
      <c r="G741" s="2"/>
      <c r="H741" s="2"/>
      <c r="I741" s="2"/>
      <c r="J741" s="2"/>
      <c r="K741" s="2"/>
      <c r="L741" s="2"/>
      <c r="M741" s="3"/>
    </row>
    <row r="742" ht="12.75" customHeight="1">
      <c r="E742" s="2"/>
      <c r="F742" s="2"/>
      <c r="G742" s="2"/>
      <c r="H742" s="2"/>
      <c r="I742" s="2"/>
      <c r="J742" s="2"/>
      <c r="K742" s="2"/>
      <c r="L742" s="2"/>
      <c r="M742" s="3"/>
    </row>
    <row r="743" ht="12.75" customHeight="1">
      <c r="E743" s="2"/>
      <c r="F743" s="2"/>
      <c r="G743" s="2"/>
      <c r="H743" s="2"/>
      <c r="I743" s="2"/>
      <c r="J743" s="2"/>
      <c r="K743" s="2"/>
      <c r="L743" s="2"/>
      <c r="M743" s="3"/>
    </row>
    <row r="744" ht="12.75" customHeight="1">
      <c r="E744" s="2"/>
      <c r="F744" s="2"/>
      <c r="G744" s="2"/>
      <c r="H744" s="2"/>
      <c r="I744" s="2"/>
      <c r="J744" s="2"/>
      <c r="K744" s="2"/>
      <c r="L744" s="2"/>
      <c r="M744" s="3"/>
    </row>
    <row r="745" ht="12.75" customHeight="1">
      <c r="E745" s="2"/>
      <c r="F745" s="2"/>
      <c r="G745" s="2"/>
      <c r="H745" s="2"/>
      <c r="I745" s="2"/>
      <c r="J745" s="2"/>
      <c r="K745" s="2"/>
      <c r="L745" s="2"/>
      <c r="M745" s="3"/>
    </row>
    <row r="746" ht="12.75" customHeight="1">
      <c r="E746" s="2"/>
      <c r="F746" s="2"/>
      <c r="G746" s="2"/>
      <c r="H746" s="2"/>
      <c r="I746" s="2"/>
      <c r="J746" s="2"/>
      <c r="K746" s="2"/>
      <c r="L746" s="2"/>
      <c r="M746" s="3"/>
    </row>
    <row r="747" ht="12.75" customHeight="1">
      <c r="E747" s="2"/>
      <c r="F747" s="2"/>
      <c r="G747" s="2"/>
      <c r="H747" s="2"/>
      <c r="I747" s="2"/>
      <c r="J747" s="2"/>
      <c r="K747" s="2"/>
      <c r="L747" s="2"/>
      <c r="M747" s="3"/>
    </row>
    <row r="748" ht="12.75" customHeight="1">
      <c r="E748" s="2"/>
      <c r="F748" s="2"/>
      <c r="G748" s="2"/>
      <c r="H748" s="2"/>
      <c r="I748" s="2"/>
      <c r="J748" s="2"/>
      <c r="K748" s="2"/>
      <c r="L748" s="2"/>
      <c r="M748" s="3"/>
    </row>
    <row r="749" ht="12.75" customHeight="1">
      <c r="E749" s="2"/>
      <c r="F749" s="2"/>
      <c r="G749" s="2"/>
      <c r="H749" s="2"/>
      <c r="I749" s="2"/>
      <c r="J749" s="2"/>
      <c r="K749" s="2"/>
      <c r="L749" s="2"/>
      <c r="M749" s="3"/>
    </row>
    <row r="750" ht="12.75" customHeight="1">
      <c r="E750" s="2"/>
      <c r="F750" s="2"/>
      <c r="G750" s="2"/>
      <c r="H750" s="2"/>
      <c r="I750" s="2"/>
      <c r="J750" s="2"/>
      <c r="K750" s="2"/>
      <c r="L750" s="2"/>
      <c r="M750" s="3"/>
    </row>
    <row r="751" ht="12.75" customHeight="1">
      <c r="E751" s="2"/>
      <c r="F751" s="2"/>
      <c r="G751" s="2"/>
      <c r="H751" s="2"/>
      <c r="I751" s="2"/>
      <c r="J751" s="2"/>
      <c r="K751" s="2"/>
      <c r="L751" s="2"/>
      <c r="M751" s="3"/>
    </row>
    <row r="752" ht="12.75" customHeight="1">
      <c r="E752" s="2"/>
      <c r="F752" s="2"/>
      <c r="G752" s="2"/>
      <c r="H752" s="2"/>
      <c r="I752" s="2"/>
      <c r="J752" s="2"/>
      <c r="K752" s="2"/>
      <c r="L752" s="2"/>
      <c r="M752" s="3"/>
    </row>
    <row r="753" ht="12.75" customHeight="1">
      <c r="E753" s="2"/>
      <c r="F753" s="2"/>
      <c r="G753" s="2"/>
      <c r="H753" s="2"/>
      <c r="I753" s="2"/>
      <c r="J753" s="2"/>
      <c r="K753" s="2"/>
      <c r="L753" s="2"/>
      <c r="M753" s="3"/>
    </row>
    <row r="754" ht="12.75" customHeight="1">
      <c r="E754" s="2"/>
      <c r="F754" s="2"/>
      <c r="G754" s="2"/>
      <c r="H754" s="2"/>
      <c r="I754" s="2"/>
      <c r="J754" s="2"/>
      <c r="K754" s="2"/>
      <c r="L754" s="2"/>
      <c r="M754" s="3"/>
    </row>
    <row r="755" ht="12.75" customHeight="1">
      <c r="E755" s="2"/>
      <c r="F755" s="2"/>
      <c r="G755" s="2"/>
      <c r="H755" s="2"/>
      <c r="I755" s="2"/>
      <c r="J755" s="2"/>
      <c r="K755" s="2"/>
      <c r="L755" s="2"/>
      <c r="M755" s="3"/>
    </row>
    <row r="756" ht="12.75" customHeight="1">
      <c r="E756" s="2"/>
      <c r="F756" s="2"/>
      <c r="G756" s="2"/>
      <c r="H756" s="2"/>
      <c r="I756" s="2"/>
      <c r="J756" s="2"/>
      <c r="K756" s="2"/>
      <c r="L756" s="2"/>
      <c r="M756" s="3"/>
    </row>
    <row r="757" ht="12.75" customHeight="1">
      <c r="E757" s="2"/>
      <c r="F757" s="2"/>
      <c r="G757" s="2"/>
      <c r="H757" s="2"/>
      <c r="I757" s="2"/>
      <c r="J757" s="2"/>
      <c r="K757" s="2"/>
      <c r="L757" s="2"/>
      <c r="M757" s="3"/>
    </row>
    <row r="758" ht="12.75" customHeight="1">
      <c r="E758" s="2"/>
      <c r="F758" s="2"/>
      <c r="G758" s="2"/>
      <c r="H758" s="2"/>
      <c r="I758" s="2"/>
      <c r="J758" s="2"/>
      <c r="K758" s="2"/>
      <c r="L758" s="2"/>
      <c r="M758" s="3"/>
    </row>
    <row r="759" ht="12.75" customHeight="1">
      <c r="E759" s="2"/>
      <c r="F759" s="2"/>
      <c r="G759" s="2"/>
      <c r="H759" s="2"/>
      <c r="I759" s="2"/>
      <c r="J759" s="2"/>
      <c r="K759" s="2"/>
      <c r="L759" s="2"/>
      <c r="M759" s="3"/>
    </row>
    <row r="760" ht="12.75" customHeight="1">
      <c r="E760" s="2"/>
      <c r="F760" s="2"/>
      <c r="G760" s="2"/>
      <c r="H760" s="2"/>
      <c r="I760" s="2"/>
      <c r="J760" s="2"/>
      <c r="K760" s="2"/>
      <c r="L760" s="2"/>
      <c r="M760" s="3"/>
    </row>
    <row r="761" ht="12.75" customHeight="1">
      <c r="E761" s="2"/>
      <c r="F761" s="2"/>
      <c r="G761" s="2"/>
      <c r="H761" s="2"/>
      <c r="I761" s="2"/>
      <c r="J761" s="2"/>
      <c r="K761" s="2"/>
      <c r="L761" s="2"/>
      <c r="M761" s="3"/>
    </row>
    <row r="762" ht="12.75" customHeight="1">
      <c r="E762" s="2"/>
      <c r="F762" s="2"/>
      <c r="G762" s="2"/>
      <c r="H762" s="2"/>
      <c r="I762" s="2"/>
      <c r="J762" s="2"/>
      <c r="K762" s="2"/>
      <c r="L762" s="2"/>
      <c r="M762" s="3"/>
    </row>
    <row r="763" ht="12.75" customHeight="1">
      <c r="E763" s="2"/>
      <c r="F763" s="2"/>
      <c r="G763" s="2"/>
      <c r="H763" s="2"/>
      <c r="I763" s="2"/>
      <c r="J763" s="2"/>
      <c r="K763" s="2"/>
      <c r="L763" s="2"/>
      <c r="M763" s="3"/>
    </row>
    <row r="764" ht="12.75" customHeight="1">
      <c r="E764" s="2"/>
      <c r="F764" s="2"/>
      <c r="G764" s="2"/>
      <c r="H764" s="2"/>
      <c r="I764" s="2"/>
      <c r="J764" s="2"/>
      <c r="K764" s="2"/>
      <c r="L764" s="2"/>
      <c r="M764" s="3"/>
    </row>
    <row r="765" ht="12.75" customHeight="1">
      <c r="E765" s="2"/>
      <c r="F765" s="2"/>
      <c r="G765" s="2"/>
      <c r="H765" s="2"/>
      <c r="I765" s="2"/>
      <c r="J765" s="2"/>
      <c r="K765" s="2"/>
      <c r="L765" s="2"/>
      <c r="M765" s="3"/>
    </row>
    <row r="766" ht="12.75" customHeight="1">
      <c r="E766" s="2"/>
      <c r="F766" s="2"/>
      <c r="G766" s="2"/>
      <c r="H766" s="2"/>
      <c r="I766" s="2"/>
      <c r="J766" s="2"/>
      <c r="K766" s="2"/>
      <c r="L766" s="2"/>
      <c r="M766" s="3"/>
    </row>
    <row r="767" ht="12.75" customHeight="1">
      <c r="E767" s="2"/>
      <c r="F767" s="2"/>
      <c r="G767" s="2"/>
      <c r="H767" s="2"/>
      <c r="I767" s="2"/>
      <c r="J767" s="2"/>
      <c r="K767" s="2"/>
      <c r="L767" s="2"/>
      <c r="M767" s="3"/>
    </row>
    <row r="768" ht="12.75" customHeight="1">
      <c r="E768" s="2"/>
      <c r="F768" s="2"/>
      <c r="G768" s="2"/>
      <c r="H768" s="2"/>
      <c r="I768" s="2"/>
      <c r="J768" s="2"/>
      <c r="K768" s="2"/>
      <c r="L768" s="2"/>
      <c r="M768" s="3"/>
    </row>
    <row r="769" ht="12.75" customHeight="1">
      <c r="E769" s="2"/>
      <c r="F769" s="2"/>
      <c r="G769" s="2"/>
      <c r="H769" s="2"/>
      <c r="I769" s="2"/>
      <c r="J769" s="2"/>
      <c r="K769" s="2"/>
      <c r="L769" s="2"/>
      <c r="M769" s="3"/>
    </row>
    <row r="770" ht="12.75" customHeight="1">
      <c r="E770" s="2"/>
      <c r="F770" s="2"/>
      <c r="G770" s="2"/>
      <c r="H770" s="2"/>
      <c r="I770" s="2"/>
      <c r="J770" s="2"/>
      <c r="K770" s="2"/>
      <c r="L770" s="2"/>
      <c r="M770" s="3"/>
    </row>
    <row r="771" ht="12.75" customHeight="1">
      <c r="E771" s="2"/>
      <c r="F771" s="2"/>
      <c r="G771" s="2"/>
      <c r="H771" s="2"/>
      <c r="I771" s="2"/>
      <c r="J771" s="2"/>
      <c r="K771" s="2"/>
      <c r="L771" s="2"/>
      <c r="M771" s="3"/>
    </row>
    <row r="772" ht="12.75" customHeight="1">
      <c r="E772" s="2"/>
      <c r="F772" s="2"/>
      <c r="G772" s="2"/>
      <c r="H772" s="2"/>
      <c r="I772" s="2"/>
      <c r="J772" s="2"/>
      <c r="K772" s="2"/>
      <c r="L772" s="2"/>
      <c r="M772" s="3"/>
    </row>
    <row r="773" ht="12.75" customHeight="1">
      <c r="E773" s="2"/>
      <c r="F773" s="2"/>
      <c r="G773" s="2"/>
      <c r="H773" s="2"/>
      <c r="I773" s="2"/>
      <c r="J773" s="2"/>
      <c r="K773" s="2"/>
      <c r="L773" s="2"/>
      <c r="M773" s="3"/>
    </row>
    <row r="774" ht="12.75" customHeight="1">
      <c r="E774" s="2"/>
      <c r="F774" s="2"/>
      <c r="G774" s="2"/>
      <c r="H774" s="2"/>
      <c r="I774" s="2"/>
      <c r="J774" s="2"/>
      <c r="K774" s="2"/>
      <c r="L774" s="2"/>
      <c r="M774" s="3"/>
    </row>
    <row r="775" ht="12.75" customHeight="1">
      <c r="E775" s="2"/>
      <c r="F775" s="2"/>
      <c r="G775" s="2"/>
      <c r="H775" s="2"/>
      <c r="I775" s="2"/>
      <c r="J775" s="2"/>
      <c r="K775" s="2"/>
      <c r="L775" s="2"/>
      <c r="M775" s="3"/>
    </row>
    <row r="776" ht="12.75" customHeight="1">
      <c r="E776" s="2"/>
      <c r="F776" s="2"/>
      <c r="G776" s="2"/>
      <c r="H776" s="2"/>
      <c r="I776" s="2"/>
      <c r="J776" s="2"/>
      <c r="K776" s="2"/>
      <c r="L776" s="2"/>
      <c r="M776" s="3"/>
    </row>
    <row r="777" ht="12.75" customHeight="1">
      <c r="E777" s="2"/>
      <c r="F777" s="2"/>
      <c r="G777" s="2"/>
      <c r="H777" s="2"/>
      <c r="I777" s="2"/>
      <c r="J777" s="2"/>
      <c r="K777" s="2"/>
      <c r="L777" s="2"/>
      <c r="M777" s="3"/>
    </row>
    <row r="778" ht="12.75" customHeight="1">
      <c r="E778" s="2"/>
      <c r="F778" s="2"/>
      <c r="G778" s="2"/>
      <c r="H778" s="2"/>
      <c r="I778" s="2"/>
      <c r="J778" s="2"/>
      <c r="K778" s="2"/>
      <c r="L778" s="2"/>
      <c r="M778" s="3"/>
    </row>
    <row r="779" ht="12.75" customHeight="1">
      <c r="E779" s="2"/>
      <c r="F779" s="2"/>
      <c r="G779" s="2"/>
      <c r="H779" s="2"/>
      <c r="I779" s="2"/>
      <c r="J779" s="2"/>
      <c r="K779" s="2"/>
      <c r="L779" s="2"/>
      <c r="M779" s="3"/>
    </row>
    <row r="780" ht="12.75" customHeight="1">
      <c r="E780" s="2"/>
      <c r="F780" s="2"/>
      <c r="G780" s="2"/>
      <c r="H780" s="2"/>
      <c r="I780" s="2"/>
      <c r="J780" s="2"/>
      <c r="K780" s="2"/>
      <c r="L780" s="2"/>
      <c r="M780" s="3"/>
    </row>
    <row r="781" ht="12.75" customHeight="1">
      <c r="E781" s="2"/>
      <c r="F781" s="2"/>
      <c r="G781" s="2"/>
      <c r="H781" s="2"/>
      <c r="I781" s="2"/>
      <c r="J781" s="2"/>
      <c r="K781" s="2"/>
      <c r="L781" s="2"/>
      <c r="M781" s="3"/>
    </row>
    <row r="782" ht="12.75" customHeight="1">
      <c r="E782" s="2"/>
      <c r="F782" s="2"/>
      <c r="G782" s="2"/>
      <c r="H782" s="2"/>
      <c r="I782" s="2"/>
      <c r="J782" s="2"/>
      <c r="K782" s="2"/>
      <c r="L782" s="2"/>
      <c r="M782" s="3"/>
    </row>
    <row r="783" ht="12.75" customHeight="1">
      <c r="E783" s="2"/>
      <c r="F783" s="2"/>
      <c r="G783" s="2"/>
      <c r="H783" s="2"/>
      <c r="I783" s="2"/>
      <c r="J783" s="2"/>
      <c r="K783" s="2"/>
      <c r="L783" s="2"/>
      <c r="M783" s="3"/>
    </row>
    <row r="784" ht="12.75" customHeight="1">
      <c r="E784" s="2"/>
      <c r="F784" s="2"/>
      <c r="G784" s="2"/>
      <c r="H784" s="2"/>
      <c r="I784" s="2"/>
      <c r="J784" s="2"/>
      <c r="K784" s="2"/>
      <c r="L784" s="2"/>
      <c r="M784" s="3"/>
    </row>
    <row r="785" ht="12.75" customHeight="1">
      <c r="E785" s="2"/>
      <c r="F785" s="2"/>
      <c r="G785" s="2"/>
      <c r="H785" s="2"/>
      <c r="I785" s="2"/>
      <c r="J785" s="2"/>
      <c r="K785" s="2"/>
      <c r="L785" s="2"/>
      <c r="M785" s="3"/>
    </row>
    <row r="786" ht="12.75" customHeight="1">
      <c r="E786" s="2"/>
      <c r="F786" s="2"/>
      <c r="G786" s="2"/>
      <c r="H786" s="2"/>
      <c r="I786" s="2"/>
      <c r="J786" s="2"/>
      <c r="K786" s="2"/>
      <c r="L786" s="2"/>
      <c r="M786" s="3"/>
    </row>
    <row r="787" ht="12.75" customHeight="1">
      <c r="E787" s="2"/>
      <c r="F787" s="2"/>
      <c r="G787" s="2"/>
      <c r="H787" s="2"/>
      <c r="I787" s="2"/>
      <c r="J787" s="2"/>
      <c r="K787" s="2"/>
      <c r="L787" s="2"/>
      <c r="M787" s="3"/>
    </row>
    <row r="788" ht="12.75" customHeight="1">
      <c r="E788" s="2"/>
      <c r="F788" s="2"/>
      <c r="G788" s="2"/>
      <c r="H788" s="2"/>
      <c r="I788" s="2"/>
      <c r="J788" s="2"/>
      <c r="K788" s="2"/>
      <c r="L788" s="2"/>
      <c r="M788" s="3"/>
    </row>
    <row r="789" ht="12.75" customHeight="1">
      <c r="E789" s="2"/>
      <c r="F789" s="2"/>
      <c r="G789" s="2"/>
      <c r="H789" s="2"/>
      <c r="I789" s="2"/>
      <c r="J789" s="2"/>
      <c r="K789" s="2"/>
      <c r="L789" s="2"/>
      <c r="M789" s="3"/>
    </row>
    <row r="790" ht="12.75" customHeight="1">
      <c r="E790" s="2"/>
      <c r="F790" s="2"/>
      <c r="G790" s="2"/>
      <c r="H790" s="2"/>
      <c r="I790" s="2"/>
      <c r="J790" s="2"/>
      <c r="K790" s="2"/>
      <c r="L790" s="2"/>
      <c r="M790" s="3"/>
    </row>
    <row r="791" ht="12.75" customHeight="1">
      <c r="E791" s="2"/>
      <c r="F791" s="2"/>
      <c r="G791" s="2"/>
      <c r="H791" s="2"/>
      <c r="I791" s="2"/>
      <c r="J791" s="2"/>
      <c r="K791" s="2"/>
      <c r="L791" s="2"/>
      <c r="M791" s="3"/>
    </row>
    <row r="792" ht="12.75" customHeight="1">
      <c r="E792" s="2"/>
      <c r="F792" s="2"/>
      <c r="G792" s="2"/>
      <c r="H792" s="2"/>
      <c r="I792" s="2"/>
      <c r="J792" s="2"/>
      <c r="K792" s="2"/>
      <c r="L792" s="2"/>
      <c r="M792" s="3"/>
    </row>
    <row r="793" ht="12.75" customHeight="1">
      <c r="E793" s="2"/>
      <c r="F793" s="2"/>
      <c r="G793" s="2"/>
      <c r="H793" s="2"/>
      <c r="I793" s="2"/>
      <c r="J793" s="2"/>
      <c r="K793" s="2"/>
      <c r="L793" s="2"/>
      <c r="M793" s="3"/>
    </row>
    <row r="794" ht="12.75" customHeight="1">
      <c r="E794" s="2"/>
      <c r="F794" s="2"/>
      <c r="G794" s="2"/>
      <c r="H794" s="2"/>
      <c r="I794" s="2"/>
      <c r="J794" s="2"/>
      <c r="K794" s="2"/>
      <c r="L794" s="2"/>
      <c r="M794" s="3"/>
    </row>
    <row r="795" ht="12.75" customHeight="1">
      <c r="E795" s="2"/>
      <c r="F795" s="2"/>
      <c r="G795" s="2"/>
      <c r="H795" s="2"/>
      <c r="I795" s="2"/>
      <c r="J795" s="2"/>
      <c r="K795" s="2"/>
      <c r="L795" s="2"/>
      <c r="M795" s="3"/>
    </row>
    <row r="796" ht="12.75" customHeight="1">
      <c r="E796" s="2"/>
      <c r="F796" s="2"/>
      <c r="G796" s="2"/>
      <c r="H796" s="2"/>
      <c r="I796" s="2"/>
      <c r="J796" s="2"/>
      <c r="K796" s="2"/>
      <c r="L796" s="2"/>
      <c r="M796" s="3"/>
    </row>
    <row r="797" ht="12.75" customHeight="1">
      <c r="E797" s="2"/>
      <c r="F797" s="2"/>
      <c r="G797" s="2"/>
      <c r="H797" s="2"/>
      <c r="I797" s="2"/>
      <c r="J797" s="2"/>
      <c r="K797" s="2"/>
      <c r="L797" s="2"/>
      <c r="M797" s="3"/>
    </row>
    <row r="798" ht="12.75" customHeight="1">
      <c r="E798" s="2"/>
      <c r="F798" s="2"/>
      <c r="G798" s="2"/>
      <c r="H798" s="2"/>
      <c r="I798" s="2"/>
      <c r="J798" s="2"/>
      <c r="K798" s="2"/>
      <c r="L798" s="2"/>
      <c r="M798" s="3"/>
    </row>
    <row r="799" ht="12.75" customHeight="1">
      <c r="E799" s="2"/>
      <c r="F799" s="2"/>
      <c r="G799" s="2"/>
      <c r="H799" s="2"/>
      <c r="I799" s="2"/>
      <c r="J799" s="2"/>
      <c r="K799" s="2"/>
      <c r="L799" s="2"/>
      <c r="M799" s="3"/>
    </row>
    <row r="800" ht="12.75" customHeight="1">
      <c r="E800" s="2"/>
      <c r="F800" s="2"/>
      <c r="G800" s="2"/>
      <c r="H800" s="2"/>
      <c r="I800" s="2"/>
      <c r="J800" s="2"/>
      <c r="K800" s="2"/>
      <c r="L800" s="2"/>
      <c r="M800" s="3"/>
    </row>
    <row r="801" ht="12.75" customHeight="1">
      <c r="E801" s="2"/>
      <c r="F801" s="2"/>
      <c r="G801" s="2"/>
      <c r="H801" s="2"/>
      <c r="I801" s="2"/>
      <c r="J801" s="2"/>
      <c r="K801" s="2"/>
      <c r="L801" s="2"/>
      <c r="M801" s="3"/>
    </row>
    <row r="802" ht="12.75" customHeight="1">
      <c r="E802" s="2"/>
      <c r="F802" s="2"/>
      <c r="G802" s="2"/>
      <c r="H802" s="2"/>
      <c r="I802" s="2"/>
      <c r="J802" s="2"/>
      <c r="K802" s="2"/>
      <c r="L802" s="2"/>
      <c r="M802" s="3"/>
    </row>
    <row r="803" ht="12.75" customHeight="1">
      <c r="E803" s="2"/>
      <c r="F803" s="2"/>
      <c r="G803" s="2"/>
      <c r="H803" s="2"/>
      <c r="I803" s="2"/>
      <c r="J803" s="2"/>
      <c r="K803" s="2"/>
      <c r="L803" s="2"/>
      <c r="M803" s="3"/>
    </row>
    <row r="804" ht="12.75" customHeight="1">
      <c r="E804" s="2"/>
      <c r="F804" s="2"/>
      <c r="G804" s="2"/>
      <c r="H804" s="2"/>
      <c r="I804" s="2"/>
      <c r="J804" s="2"/>
      <c r="K804" s="2"/>
      <c r="L804" s="2"/>
      <c r="M804" s="3"/>
    </row>
    <row r="805" ht="12.75" customHeight="1">
      <c r="E805" s="2"/>
      <c r="F805" s="2"/>
      <c r="G805" s="2"/>
      <c r="H805" s="2"/>
      <c r="I805" s="2"/>
      <c r="J805" s="2"/>
      <c r="K805" s="2"/>
      <c r="L805" s="2"/>
      <c r="M805" s="3"/>
    </row>
    <row r="806" ht="12.75" customHeight="1">
      <c r="E806" s="2"/>
      <c r="F806" s="2"/>
      <c r="G806" s="2"/>
      <c r="H806" s="2"/>
      <c r="I806" s="2"/>
      <c r="J806" s="2"/>
      <c r="K806" s="2"/>
      <c r="L806" s="2"/>
      <c r="M806" s="3"/>
    </row>
    <row r="807" ht="12.75" customHeight="1">
      <c r="E807" s="2"/>
      <c r="F807" s="2"/>
      <c r="G807" s="2"/>
      <c r="H807" s="2"/>
      <c r="I807" s="2"/>
      <c r="J807" s="2"/>
      <c r="K807" s="2"/>
      <c r="L807" s="2"/>
      <c r="M807" s="3"/>
    </row>
    <row r="808" ht="12.75" customHeight="1">
      <c r="E808" s="2"/>
      <c r="F808" s="2"/>
      <c r="G808" s="2"/>
      <c r="H808" s="2"/>
      <c r="I808" s="2"/>
      <c r="J808" s="2"/>
      <c r="K808" s="2"/>
      <c r="L808" s="2"/>
      <c r="M808" s="3"/>
    </row>
    <row r="809" ht="12.75" customHeight="1">
      <c r="E809" s="2"/>
      <c r="F809" s="2"/>
      <c r="G809" s="2"/>
      <c r="H809" s="2"/>
      <c r="I809" s="2"/>
      <c r="J809" s="2"/>
      <c r="K809" s="2"/>
      <c r="L809" s="2"/>
      <c r="M809" s="3"/>
    </row>
    <row r="810" ht="12.75" customHeight="1">
      <c r="E810" s="2"/>
      <c r="F810" s="2"/>
      <c r="G810" s="2"/>
      <c r="H810" s="2"/>
      <c r="I810" s="2"/>
      <c r="J810" s="2"/>
      <c r="K810" s="2"/>
      <c r="L810" s="2"/>
      <c r="M810" s="3"/>
    </row>
    <row r="811" ht="12.75" customHeight="1">
      <c r="E811" s="2"/>
      <c r="F811" s="2"/>
      <c r="G811" s="2"/>
      <c r="H811" s="2"/>
      <c r="I811" s="2"/>
      <c r="J811" s="2"/>
      <c r="K811" s="2"/>
      <c r="L811" s="2"/>
      <c r="M811" s="3"/>
    </row>
    <row r="812" ht="12.75" customHeight="1">
      <c r="E812" s="2"/>
      <c r="F812" s="2"/>
      <c r="G812" s="2"/>
      <c r="H812" s="2"/>
      <c r="I812" s="2"/>
      <c r="J812" s="2"/>
      <c r="K812" s="2"/>
      <c r="L812" s="2"/>
      <c r="M812" s="3"/>
    </row>
    <row r="813" ht="12.75" customHeight="1">
      <c r="E813" s="2"/>
      <c r="F813" s="2"/>
      <c r="G813" s="2"/>
      <c r="H813" s="2"/>
      <c r="I813" s="2"/>
      <c r="J813" s="2"/>
      <c r="K813" s="2"/>
      <c r="L813" s="2"/>
      <c r="M813" s="3"/>
    </row>
    <row r="814" ht="12.75" customHeight="1">
      <c r="E814" s="2"/>
      <c r="F814" s="2"/>
      <c r="G814" s="2"/>
      <c r="H814" s="2"/>
      <c r="I814" s="2"/>
      <c r="J814" s="2"/>
      <c r="K814" s="2"/>
      <c r="L814" s="2"/>
      <c r="M814" s="3"/>
    </row>
    <row r="815" ht="12.75" customHeight="1">
      <c r="E815" s="2"/>
      <c r="F815" s="2"/>
      <c r="G815" s="2"/>
      <c r="H815" s="2"/>
      <c r="I815" s="2"/>
      <c r="J815" s="2"/>
      <c r="K815" s="2"/>
      <c r="L815" s="2"/>
      <c r="M815" s="3"/>
    </row>
    <row r="816" ht="12.75" customHeight="1">
      <c r="E816" s="2"/>
      <c r="F816" s="2"/>
      <c r="G816" s="2"/>
      <c r="H816" s="2"/>
      <c r="I816" s="2"/>
      <c r="J816" s="2"/>
      <c r="K816" s="2"/>
      <c r="L816" s="2"/>
      <c r="M816" s="3"/>
    </row>
    <row r="817" ht="12.75" customHeight="1">
      <c r="E817" s="2"/>
      <c r="F817" s="2"/>
      <c r="G817" s="2"/>
      <c r="H817" s="2"/>
      <c r="I817" s="2"/>
      <c r="J817" s="2"/>
      <c r="K817" s="2"/>
      <c r="L817" s="2"/>
      <c r="M817" s="3"/>
    </row>
    <row r="818" ht="12.75" customHeight="1">
      <c r="E818" s="2"/>
      <c r="F818" s="2"/>
      <c r="G818" s="2"/>
      <c r="H818" s="2"/>
      <c r="I818" s="2"/>
      <c r="J818" s="2"/>
      <c r="K818" s="2"/>
      <c r="L818" s="2"/>
      <c r="M818" s="3"/>
    </row>
    <row r="819" ht="12.75" customHeight="1">
      <c r="E819" s="2"/>
      <c r="F819" s="2"/>
      <c r="G819" s="2"/>
      <c r="H819" s="2"/>
      <c r="I819" s="2"/>
      <c r="J819" s="2"/>
      <c r="K819" s="2"/>
      <c r="L819" s="2"/>
      <c r="M819" s="3"/>
    </row>
    <row r="820" ht="12.75" customHeight="1">
      <c r="E820" s="2"/>
      <c r="F820" s="2"/>
      <c r="G820" s="2"/>
      <c r="H820" s="2"/>
      <c r="I820" s="2"/>
      <c r="J820" s="2"/>
      <c r="K820" s="2"/>
      <c r="L820" s="2"/>
      <c r="M820" s="3"/>
    </row>
    <row r="821" ht="12.75" customHeight="1">
      <c r="E821" s="2"/>
      <c r="F821" s="2"/>
      <c r="G821" s="2"/>
      <c r="H821" s="2"/>
      <c r="I821" s="2"/>
      <c r="J821" s="2"/>
      <c r="K821" s="2"/>
      <c r="L821" s="2"/>
      <c r="M821" s="3"/>
    </row>
    <row r="822" ht="12.75" customHeight="1">
      <c r="E822" s="2"/>
      <c r="F822" s="2"/>
      <c r="G822" s="2"/>
      <c r="H822" s="2"/>
      <c r="I822" s="2"/>
      <c r="J822" s="2"/>
      <c r="K822" s="2"/>
      <c r="L822" s="2"/>
      <c r="M822" s="3"/>
    </row>
    <row r="823" ht="12.75" customHeight="1">
      <c r="E823" s="2"/>
      <c r="F823" s="2"/>
      <c r="G823" s="2"/>
      <c r="H823" s="2"/>
      <c r="I823" s="2"/>
      <c r="J823" s="2"/>
      <c r="K823" s="2"/>
      <c r="L823" s="2"/>
      <c r="M823" s="3"/>
    </row>
    <row r="824" ht="12.75" customHeight="1">
      <c r="E824" s="2"/>
      <c r="F824" s="2"/>
      <c r="G824" s="2"/>
      <c r="H824" s="2"/>
      <c r="I824" s="2"/>
      <c r="J824" s="2"/>
      <c r="K824" s="2"/>
      <c r="L824" s="2"/>
      <c r="M824" s="3"/>
    </row>
    <row r="825" ht="12.75" customHeight="1">
      <c r="E825" s="2"/>
      <c r="F825" s="2"/>
      <c r="G825" s="2"/>
      <c r="H825" s="2"/>
      <c r="I825" s="2"/>
      <c r="J825" s="2"/>
      <c r="K825" s="2"/>
      <c r="L825" s="2"/>
      <c r="M825" s="3"/>
    </row>
    <row r="826" ht="12.75" customHeight="1">
      <c r="E826" s="2"/>
      <c r="F826" s="2"/>
      <c r="G826" s="2"/>
      <c r="H826" s="2"/>
      <c r="I826" s="2"/>
      <c r="J826" s="2"/>
      <c r="K826" s="2"/>
      <c r="L826" s="2"/>
      <c r="M826" s="3"/>
    </row>
    <row r="827" ht="12.75" customHeight="1">
      <c r="E827" s="2"/>
      <c r="F827" s="2"/>
      <c r="G827" s="2"/>
      <c r="H827" s="2"/>
      <c r="I827" s="2"/>
      <c r="J827" s="2"/>
      <c r="K827" s="2"/>
      <c r="L827" s="2"/>
      <c r="M827" s="3"/>
    </row>
    <row r="828" ht="12.75" customHeight="1">
      <c r="E828" s="2"/>
      <c r="F828" s="2"/>
      <c r="G828" s="2"/>
      <c r="H828" s="2"/>
      <c r="I828" s="2"/>
      <c r="J828" s="2"/>
      <c r="K828" s="2"/>
      <c r="L828" s="2"/>
      <c r="M828" s="3"/>
    </row>
    <row r="829" ht="12.75" customHeight="1">
      <c r="E829" s="2"/>
      <c r="F829" s="2"/>
      <c r="G829" s="2"/>
      <c r="H829" s="2"/>
      <c r="I829" s="2"/>
      <c r="J829" s="2"/>
      <c r="K829" s="2"/>
      <c r="L829" s="2"/>
      <c r="M829" s="3"/>
    </row>
    <row r="830" ht="12.75" customHeight="1">
      <c r="E830" s="2"/>
      <c r="F830" s="2"/>
      <c r="G830" s="2"/>
      <c r="H830" s="2"/>
      <c r="I830" s="2"/>
      <c r="J830" s="2"/>
      <c r="K830" s="2"/>
      <c r="L830" s="2"/>
      <c r="M830" s="3"/>
    </row>
    <row r="831" ht="12.75" customHeight="1">
      <c r="E831" s="2"/>
      <c r="F831" s="2"/>
      <c r="G831" s="2"/>
      <c r="H831" s="2"/>
      <c r="I831" s="2"/>
      <c r="J831" s="2"/>
      <c r="K831" s="2"/>
      <c r="L831" s="2"/>
      <c r="M831" s="3"/>
    </row>
    <row r="832" ht="12.75" customHeight="1">
      <c r="E832" s="2"/>
      <c r="F832" s="2"/>
      <c r="G832" s="2"/>
      <c r="H832" s="2"/>
      <c r="I832" s="2"/>
      <c r="J832" s="2"/>
      <c r="K832" s="2"/>
      <c r="L832" s="2"/>
      <c r="M832" s="3"/>
    </row>
    <row r="833" ht="12.75" customHeight="1">
      <c r="E833" s="2"/>
      <c r="F833" s="2"/>
      <c r="G833" s="2"/>
      <c r="H833" s="2"/>
      <c r="I833" s="2"/>
      <c r="J833" s="2"/>
      <c r="K833" s="2"/>
      <c r="L833" s="2"/>
      <c r="M833" s="3"/>
    </row>
    <row r="834" ht="12.75" customHeight="1">
      <c r="E834" s="2"/>
      <c r="F834" s="2"/>
      <c r="G834" s="2"/>
      <c r="H834" s="2"/>
      <c r="I834" s="2"/>
      <c r="J834" s="2"/>
      <c r="K834" s="2"/>
      <c r="L834" s="2"/>
      <c r="M834" s="3"/>
    </row>
    <row r="835" ht="12.75" customHeight="1">
      <c r="E835" s="2"/>
      <c r="F835" s="2"/>
      <c r="G835" s="2"/>
      <c r="H835" s="2"/>
      <c r="I835" s="2"/>
      <c r="J835" s="2"/>
      <c r="K835" s="2"/>
      <c r="L835" s="2"/>
      <c r="M835" s="3"/>
    </row>
    <row r="836" ht="12.75" customHeight="1">
      <c r="E836" s="2"/>
      <c r="F836" s="2"/>
      <c r="G836" s="2"/>
      <c r="H836" s="2"/>
      <c r="I836" s="2"/>
      <c r="J836" s="2"/>
      <c r="K836" s="2"/>
      <c r="L836" s="2"/>
      <c r="M836" s="3"/>
    </row>
    <row r="837" ht="12.75" customHeight="1">
      <c r="E837" s="2"/>
      <c r="F837" s="2"/>
      <c r="G837" s="2"/>
      <c r="H837" s="2"/>
      <c r="I837" s="2"/>
      <c r="J837" s="2"/>
      <c r="K837" s="2"/>
      <c r="L837" s="2"/>
      <c r="M837" s="3"/>
    </row>
    <row r="838" ht="12.75" customHeight="1">
      <c r="E838" s="2"/>
      <c r="F838" s="2"/>
      <c r="G838" s="2"/>
      <c r="H838" s="2"/>
      <c r="I838" s="2"/>
      <c r="J838" s="2"/>
      <c r="K838" s="2"/>
      <c r="L838" s="2"/>
      <c r="M838" s="3"/>
    </row>
    <row r="839" ht="12.75" customHeight="1">
      <c r="E839" s="2"/>
      <c r="F839" s="2"/>
      <c r="G839" s="2"/>
      <c r="H839" s="2"/>
      <c r="I839" s="2"/>
      <c r="J839" s="2"/>
      <c r="K839" s="2"/>
      <c r="L839" s="2"/>
      <c r="M839" s="3"/>
    </row>
    <row r="840" ht="12.75" customHeight="1">
      <c r="E840" s="2"/>
      <c r="F840" s="2"/>
      <c r="G840" s="2"/>
      <c r="H840" s="2"/>
      <c r="I840" s="2"/>
      <c r="J840" s="2"/>
      <c r="K840" s="2"/>
      <c r="L840" s="2"/>
      <c r="M840" s="3"/>
    </row>
    <row r="841" ht="12.75" customHeight="1">
      <c r="E841" s="2"/>
      <c r="F841" s="2"/>
      <c r="G841" s="2"/>
      <c r="H841" s="2"/>
      <c r="I841" s="2"/>
      <c r="J841" s="2"/>
      <c r="K841" s="2"/>
      <c r="L841" s="2"/>
      <c r="M841" s="3"/>
    </row>
    <row r="842" ht="12.75" customHeight="1">
      <c r="E842" s="2"/>
      <c r="F842" s="2"/>
      <c r="G842" s="2"/>
      <c r="H842" s="2"/>
      <c r="I842" s="2"/>
      <c r="J842" s="2"/>
      <c r="K842" s="2"/>
      <c r="L842" s="2"/>
      <c r="M842" s="3"/>
    </row>
    <row r="843" ht="12.75" customHeight="1">
      <c r="E843" s="2"/>
      <c r="F843" s="2"/>
      <c r="G843" s="2"/>
      <c r="H843" s="2"/>
      <c r="I843" s="2"/>
      <c r="J843" s="2"/>
      <c r="K843" s="2"/>
      <c r="L843" s="2"/>
      <c r="M843" s="3"/>
    </row>
    <row r="844" ht="12.75" customHeight="1">
      <c r="E844" s="2"/>
      <c r="F844" s="2"/>
      <c r="G844" s="2"/>
      <c r="H844" s="2"/>
      <c r="I844" s="2"/>
      <c r="J844" s="2"/>
      <c r="K844" s="2"/>
      <c r="L844" s="2"/>
      <c r="M844" s="3"/>
    </row>
    <row r="845" ht="12.75" customHeight="1">
      <c r="E845" s="2"/>
      <c r="F845" s="2"/>
      <c r="G845" s="2"/>
      <c r="H845" s="2"/>
      <c r="I845" s="2"/>
      <c r="J845" s="2"/>
      <c r="K845" s="2"/>
      <c r="L845" s="2"/>
      <c r="M845" s="3"/>
    </row>
    <row r="846" ht="12.75" customHeight="1">
      <c r="E846" s="2"/>
      <c r="F846" s="2"/>
      <c r="G846" s="2"/>
      <c r="H846" s="2"/>
      <c r="I846" s="2"/>
      <c r="J846" s="2"/>
      <c r="K846" s="2"/>
      <c r="L846" s="2"/>
      <c r="M846" s="3"/>
    </row>
    <row r="847" ht="12.75" customHeight="1">
      <c r="E847" s="2"/>
      <c r="F847" s="2"/>
      <c r="G847" s="2"/>
      <c r="H847" s="2"/>
      <c r="I847" s="2"/>
      <c r="J847" s="2"/>
      <c r="K847" s="2"/>
      <c r="L847" s="2"/>
      <c r="M847" s="3"/>
    </row>
    <row r="848" ht="12.75" customHeight="1">
      <c r="E848" s="2"/>
      <c r="F848" s="2"/>
      <c r="G848" s="2"/>
      <c r="H848" s="2"/>
      <c r="I848" s="2"/>
      <c r="J848" s="2"/>
      <c r="K848" s="2"/>
      <c r="L848" s="2"/>
      <c r="M848" s="3"/>
    </row>
    <row r="849" ht="12.75" customHeight="1">
      <c r="E849" s="2"/>
      <c r="F849" s="2"/>
      <c r="G849" s="2"/>
      <c r="H849" s="2"/>
      <c r="I849" s="2"/>
      <c r="J849" s="2"/>
      <c r="K849" s="2"/>
      <c r="L849" s="2"/>
      <c r="M849" s="3"/>
    </row>
    <row r="850" ht="12.75" customHeight="1">
      <c r="E850" s="2"/>
      <c r="F850" s="2"/>
      <c r="G850" s="2"/>
      <c r="H850" s="2"/>
      <c r="I850" s="2"/>
      <c r="J850" s="2"/>
      <c r="K850" s="2"/>
      <c r="L850" s="2"/>
      <c r="M850" s="3"/>
    </row>
    <row r="851" ht="12.75" customHeight="1">
      <c r="E851" s="2"/>
      <c r="F851" s="2"/>
      <c r="G851" s="2"/>
      <c r="H851" s="2"/>
      <c r="I851" s="2"/>
      <c r="J851" s="2"/>
      <c r="K851" s="2"/>
      <c r="L851" s="2"/>
      <c r="M851" s="3"/>
    </row>
    <row r="852" ht="12.75" customHeight="1">
      <c r="E852" s="2"/>
      <c r="F852" s="2"/>
      <c r="G852" s="2"/>
      <c r="H852" s="2"/>
      <c r="I852" s="2"/>
      <c r="J852" s="2"/>
      <c r="K852" s="2"/>
      <c r="L852" s="2"/>
      <c r="M852" s="3"/>
    </row>
    <row r="853" ht="12.75" customHeight="1">
      <c r="E853" s="2"/>
      <c r="F853" s="2"/>
      <c r="G853" s="2"/>
      <c r="H853" s="2"/>
      <c r="I853" s="2"/>
      <c r="J853" s="2"/>
      <c r="K853" s="2"/>
      <c r="L853" s="2"/>
      <c r="M853" s="3"/>
    </row>
    <row r="854" ht="12.75" customHeight="1">
      <c r="E854" s="2"/>
      <c r="F854" s="2"/>
      <c r="G854" s="2"/>
      <c r="H854" s="2"/>
      <c r="I854" s="2"/>
      <c r="J854" s="2"/>
      <c r="K854" s="2"/>
      <c r="L854" s="2"/>
      <c r="M854" s="3"/>
    </row>
    <row r="855" ht="12.75" customHeight="1">
      <c r="E855" s="2"/>
      <c r="F855" s="2"/>
      <c r="G855" s="2"/>
      <c r="H855" s="2"/>
      <c r="I855" s="2"/>
      <c r="J855" s="2"/>
      <c r="K855" s="2"/>
      <c r="L855" s="2"/>
      <c r="M855" s="3"/>
    </row>
    <row r="856" ht="12.75" customHeight="1">
      <c r="E856" s="2"/>
      <c r="F856" s="2"/>
      <c r="G856" s="2"/>
      <c r="H856" s="2"/>
      <c r="I856" s="2"/>
      <c r="J856" s="2"/>
      <c r="K856" s="2"/>
      <c r="L856" s="2"/>
      <c r="M856" s="3"/>
    </row>
    <row r="857" ht="12.75" customHeight="1">
      <c r="E857" s="2"/>
      <c r="F857" s="2"/>
      <c r="G857" s="2"/>
      <c r="H857" s="2"/>
      <c r="I857" s="2"/>
      <c r="J857" s="2"/>
      <c r="K857" s="2"/>
      <c r="L857" s="2"/>
      <c r="M857" s="3"/>
    </row>
    <row r="858" ht="12.75" customHeight="1">
      <c r="E858" s="2"/>
      <c r="F858" s="2"/>
      <c r="G858" s="2"/>
      <c r="H858" s="2"/>
      <c r="I858" s="2"/>
      <c r="J858" s="2"/>
      <c r="K858" s="2"/>
      <c r="L858" s="2"/>
      <c r="M858" s="3"/>
    </row>
    <row r="859" ht="12.75" customHeight="1">
      <c r="E859" s="2"/>
      <c r="F859" s="2"/>
      <c r="G859" s="2"/>
      <c r="H859" s="2"/>
      <c r="I859" s="2"/>
      <c r="J859" s="2"/>
      <c r="K859" s="2"/>
      <c r="L859" s="2"/>
      <c r="M859" s="3"/>
    </row>
    <row r="860" ht="12.75" customHeight="1">
      <c r="E860" s="2"/>
      <c r="F860" s="2"/>
      <c r="G860" s="2"/>
      <c r="H860" s="2"/>
      <c r="I860" s="2"/>
      <c r="J860" s="2"/>
      <c r="K860" s="2"/>
      <c r="L860" s="2"/>
      <c r="M860" s="3"/>
    </row>
    <row r="861" ht="12.75" customHeight="1">
      <c r="E861" s="2"/>
      <c r="F861" s="2"/>
      <c r="G861" s="2"/>
      <c r="H861" s="2"/>
      <c r="I861" s="2"/>
      <c r="J861" s="2"/>
      <c r="K861" s="2"/>
      <c r="L861" s="2"/>
      <c r="M861" s="3"/>
    </row>
    <row r="862" ht="12.75" customHeight="1">
      <c r="E862" s="2"/>
      <c r="F862" s="2"/>
      <c r="G862" s="2"/>
      <c r="H862" s="2"/>
      <c r="I862" s="2"/>
      <c r="J862" s="2"/>
      <c r="K862" s="2"/>
      <c r="L862" s="2"/>
      <c r="M862" s="3"/>
    </row>
    <row r="863" ht="12.75" customHeight="1">
      <c r="E863" s="2"/>
      <c r="F863" s="2"/>
      <c r="G863" s="2"/>
      <c r="H863" s="2"/>
      <c r="I863" s="2"/>
      <c r="J863" s="2"/>
      <c r="K863" s="2"/>
      <c r="L863" s="2"/>
      <c r="M863" s="3"/>
    </row>
    <row r="864" ht="12.75" customHeight="1">
      <c r="E864" s="2"/>
      <c r="F864" s="2"/>
      <c r="G864" s="2"/>
      <c r="H864" s="2"/>
      <c r="I864" s="2"/>
      <c r="J864" s="2"/>
      <c r="K864" s="2"/>
      <c r="L864" s="2"/>
      <c r="M864" s="3"/>
    </row>
    <row r="865" ht="12.75" customHeight="1">
      <c r="E865" s="2"/>
      <c r="F865" s="2"/>
      <c r="G865" s="2"/>
      <c r="H865" s="2"/>
      <c r="I865" s="2"/>
      <c r="J865" s="2"/>
      <c r="K865" s="2"/>
      <c r="L865" s="2"/>
      <c r="M865" s="3"/>
    </row>
    <row r="866" ht="12.75" customHeight="1">
      <c r="E866" s="2"/>
      <c r="F866" s="2"/>
      <c r="G866" s="2"/>
      <c r="H866" s="2"/>
      <c r="I866" s="2"/>
      <c r="J866" s="2"/>
      <c r="K866" s="2"/>
      <c r="L866" s="2"/>
      <c r="M866" s="3"/>
    </row>
    <row r="867" ht="12.75" customHeight="1">
      <c r="E867" s="2"/>
      <c r="F867" s="2"/>
      <c r="G867" s="2"/>
      <c r="H867" s="2"/>
      <c r="I867" s="2"/>
      <c r="J867" s="2"/>
      <c r="K867" s="2"/>
      <c r="L867" s="2"/>
      <c r="M867" s="3"/>
    </row>
    <row r="868" ht="12.75" customHeight="1">
      <c r="E868" s="2"/>
      <c r="F868" s="2"/>
      <c r="G868" s="2"/>
      <c r="H868" s="2"/>
      <c r="I868" s="2"/>
      <c r="J868" s="2"/>
      <c r="K868" s="2"/>
      <c r="L868" s="2"/>
      <c r="M868" s="3"/>
    </row>
    <row r="869" ht="12.75" customHeight="1">
      <c r="E869" s="2"/>
      <c r="F869" s="2"/>
      <c r="G869" s="2"/>
      <c r="H869" s="2"/>
      <c r="I869" s="2"/>
      <c r="J869" s="2"/>
      <c r="K869" s="2"/>
      <c r="L869" s="2"/>
      <c r="M869" s="3"/>
    </row>
    <row r="870" ht="12.75" customHeight="1">
      <c r="E870" s="2"/>
      <c r="F870" s="2"/>
      <c r="G870" s="2"/>
      <c r="H870" s="2"/>
      <c r="I870" s="2"/>
      <c r="J870" s="2"/>
      <c r="K870" s="2"/>
      <c r="L870" s="2"/>
      <c r="M870" s="3"/>
    </row>
    <row r="871" ht="12.75" customHeight="1">
      <c r="E871" s="2"/>
      <c r="F871" s="2"/>
      <c r="G871" s="2"/>
      <c r="H871" s="2"/>
      <c r="I871" s="2"/>
      <c r="J871" s="2"/>
      <c r="K871" s="2"/>
      <c r="L871" s="2"/>
      <c r="M871" s="3"/>
    </row>
    <row r="872" ht="12.75" customHeight="1">
      <c r="E872" s="2"/>
      <c r="F872" s="2"/>
      <c r="G872" s="2"/>
      <c r="H872" s="2"/>
      <c r="I872" s="2"/>
      <c r="J872" s="2"/>
      <c r="K872" s="2"/>
      <c r="L872" s="2"/>
      <c r="M872" s="3"/>
    </row>
    <row r="873" ht="12.75" customHeight="1">
      <c r="E873" s="2"/>
      <c r="F873" s="2"/>
      <c r="G873" s="2"/>
      <c r="H873" s="2"/>
      <c r="I873" s="2"/>
      <c r="J873" s="2"/>
      <c r="K873" s="2"/>
      <c r="L873" s="2"/>
      <c r="M873" s="3"/>
    </row>
    <row r="874" ht="12.75" customHeight="1">
      <c r="E874" s="2"/>
      <c r="F874" s="2"/>
      <c r="G874" s="2"/>
      <c r="H874" s="2"/>
      <c r="I874" s="2"/>
      <c r="J874" s="2"/>
      <c r="K874" s="2"/>
      <c r="L874" s="2"/>
      <c r="M874" s="3"/>
    </row>
    <row r="875" ht="12.75" customHeight="1">
      <c r="E875" s="2"/>
      <c r="F875" s="2"/>
      <c r="G875" s="2"/>
      <c r="H875" s="2"/>
      <c r="I875" s="2"/>
      <c r="J875" s="2"/>
      <c r="K875" s="2"/>
      <c r="L875" s="2"/>
      <c r="M875" s="3"/>
    </row>
    <row r="876" ht="12.75" customHeight="1">
      <c r="E876" s="2"/>
      <c r="F876" s="2"/>
      <c r="G876" s="2"/>
      <c r="H876" s="2"/>
      <c r="I876" s="2"/>
      <c r="J876" s="2"/>
      <c r="K876" s="2"/>
      <c r="L876" s="2"/>
      <c r="M876" s="3"/>
    </row>
    <row r="877" ht="12.75" customHeight="1">
      <c r="E877" s="2"/>
      <c r="F877" s="2"/>
      <c r="G877" s="2"/>
      <c r="H877" s="2"/>
      <c r="I877" s="2"/>
      <c r="J877" s="2"/>
      <c r="K877" s="2"/>
      <c r="L877" s="2"/>
      <c r="M877" s="3"/>
    </row>
    <row r="878" ht="12.75" customHeight="1">
      <c r="E878" s="2"/>
      <c r="F878" s="2"/>
      <c r="G878" s="2"/>
      <c r="H878" s="2"/>
      <c r="I878" s="2"/>
      <c r="J878" s="2"/>
      <c r="K878" s="2"/>
      <c r="L878" s="2"/>
      <c r="M878" s="3"/>
    </row>
    <row r="879" ht="12.75" customHeight="1">
      <c r="E879" s="2"/>
      <c r="F879" s="2"/>
      <c r="G879" s="2"/>
      <c r="H879" s="2"/>
      <c r="I879" s="2"/>
      <c r="J879" s="2"/>
      <c r="K879" s="2"/>
      <c r="L879" s="2"/>
      <c r="M879" s="3"/>
    </row>
    <row r="880" ht="12.75" customHeight="1">
      <c r="E880" s="2"/>
      <c r="F880" s="2"/>
      <c r="G880" s="2"/>
      <c r="H880" s="2"/>
      <c r="I880" s="2"/>
      <c r="J880" s="2"/>
      <c r="K880" s="2"/>
      <c r="L880" s="2"/>
      <c r="M880" s="3"/>
    </row>
    <row r="881" ht="12.75" customHeight="1">
      <c r="E881" s="2"/>
      <c r="F881" s="2"/>
      <c r="G881" s="2"/>
      <c r="H881" s="2"/>
      <c r="I881" s="2"/>
      <c r="J881" s="2"/>
      <c r="K881" s="2"/>
      <c r="L881" s="2"/>
      <c r="M881" s="3"/>
    </row>
    <row r="882" ht="12.75" customHeight="1">
      <c r="E882" s="2"/>
      <c r="F882" s="2"/>
      <c r="G882" s="2"/>
      <c r="H882" s="2"/>
      <c r="I882" s="2"/>
      <c r="J882" s="2"/>
      <c r="K882" s="2"/>
      <c r="L882" s="2"/>
      <c r="M882" s="3"/>
    </row>
    <row r="883" ht="12.75" customHeight="1">
      <c r="E883" s="2"/>
      <c r="F883" s="2"/>
      <c r="G883" s="2"/>
      <c r="H883" s="2"/>
      <c r="I883" s="2"/>
      <c r="J883" s="2"/>
      <c r="K883" s="2"/>
      <c r="L883" s="2"/>
      <c r="M883" s="3"/>
    </row>
    <row r="884" ht="12.75" customHeight="1">
      <c r="E884" s="2"/>
      <c r="F884" s="2"/>
      <c r="G884" s="2"/>
      <c r="H884" s="2"/>
      <c r="I884" s="2"/>
      <c r="J884" s="2"/>
      <c r="K884" s="2"/>
      <c r="L884" s="2"/>
      <c r="M884" s="3"/>
    </row>
    <row r="885" ht="12.75" customHeight="1">
      <c r="E885" s="2"/>
      <c r="F885" s="2"/>
      <c r="G885" s="2"/>
      <c r="H885" s="2"/>
      <c r="I885" s="2"/>
      <c r="J885" s="2"/>
      <c r="K885" s="2"/>
      <c r="L885" s="2"/>
      <c r="M885" s="3"/>
    </row>
    <row r="886" ht="12.75" customHeight="1">
      <c r="E886" s="2"/>
      <c r="F886" s="2"/>
      <c r="G886" s="2"/>
      <c r="H886" s="2"/>
      <c r="I886" s="2"/>
      <c r="J886" s="2"/>
      <c r="K886" s="2"/>
      <c r="L886" s="2"/>
      <c r="M886" s="3"/>
    </row>
    <row r="887" ht="12.75" customHeight="1">
      <c r="E887" s="2"/>
      <c r="F887" s="2"/>
      <c r="G887" s="2"/>
      <c r="H887" s="2"/>
      <c r="I887" s="2"/>
      <c r="J887" s="2"/>
      <c r="K887" s="2"/>
      <c r="L887" s="2"/>
      <c r="M887" s="3"/>
    </row>
    <row r="888" ht="12.75" customHeight="1">
      <c r="E888" s="2"/>
      <c r="F888" s="2"/>
      <c r="G888" s="2"/>
      <c r="H888" s="2"/>
      <c r="I888" s="2"/>
      <c r="J888" s="2"/>
      <c r="K888" s="2"/>
      <c r="L888" s="2"/>
      <c r="M888" s="3"/>
    </row>
    <row r="889" ht="12.75" customHeight="1">
      <c r="E889" s="2"/>
      <c r="F889" s="2"/>
      <c r="G889" s="2"/>
      <c r="H889" s="2"/>
      <c r="I889" s="2"/>
      <c r="J889" s="2"/>
      <c r="K889" s="2"/>
      <c r="L889" s="2"/>
      <c r="M889" s="3"/>
    </row>
    <row r="890" ht="12.75" customHeight="1">
      <c r="E890" s="2"/>
      <c r="F890" s="2"/>
      <c r="G890" s="2"/>
      <c r="H890" s="2"/>
      <c r="I890" s="2"/>
      <c r="J890" s="2"/>
      <c r="K890" s="2"/>
      <c r="L890" s="2"/>
      <c r="M890" s="3"/>
    </row>
    <row r="891" ht="12.75" customHeight="1">
      <c r="E891" s="2"/>
      <c r="F891" s="2"/>
      <c r="G891" s="2"/>
      <c r="H891" s="2"/>
      <c r="I891" s="2"/>
      <c r="J891" s="2"/>
      <c r="K891" s="2"/>
      <c r="L891" s="2"/>
      <c r="M891" s="3"/>
    </row>
    <row r="892" ht="12.75" customHeight="1">
      <c r="E892" s="2"/>
      <c r="F892" s="2"/>
      <c r="G892" s="2"/>
      <c r="H892" s="2"/>
      <c r="I892" s="2"/>
      <c r="J892" s="2"/>
      <c r="K892" s="2"/>
      <c r="L892" s="2"/>
      <c r="M892" s="3"/>
    </row>
    <row r="893" ht="12.75" customHeight="1">
      <c r="E893" s="2"/>
      <c r="F893" s="2"/>
      <c r="G893" s="2"/>
      <c r="H893" s="2"/>
      <c r="I893" s="2"/>
      <c r="J893" s="2"/>
      <c r="K893" s="2"/>
      <c r="L893" s="2"/>
      <c r="M893" s="3"/>
    </row>
    <row r="894" ht="12.75" customHeight="1">
      <c r="E894" s="2"/>
      <c r="F894" s="2"/>
      <c r="G894" s="2"/>
      <c r="H894" s="2"/>
      <c r="I894" s="2"/>
      <c r="J894" s="2"/>
      <c r="K894" s="2"/>
      <c r="L894" s="2"/>
      <c r="M894" s="3"/>
    </row>
    <row r="895" ht="12.75" customHeight="1">
      <c r="E895" s="2"/>
      <c r="F895" s="2"/>
      <c r="G895" s="2"/>
      <c r="H895" s="2"/>
      <c r="I895" s="2"/>
      <c r="J895" s="2"/>
      <c r="K895" s="2"/>
      <c r="L895" s="2"/>
      <c r="M895" s="3"/>
    </row>
    <row r="896" ht="12.75" customHeight="1">
      <c r="E896" s="2"/>
      <c r="F896" s="2"/>
      <c r="G896" s="2"/>
      <c r="H896" s="2"/>
      <c r="I896" s="2"/>
      <c r="J896" s="2"/>
      <c r="K896" s="2"/>
      <c r="L896" s="2"/>
      <c r="M896" s="3"/>
    </row>
    <row r="897" ht="12.75" customHeight="1">
      <c r="E897" s="2"/>
      <c r="F897" s="2"/>
      <c r="G897" s="2"/>
      <c r="H897" s="2"/>
      <c r="I897" s="2"/>
      <c r="J897" s="2"/>
      <c r="K897" s="2"/>
      <c r="L897" s="2"/>
      <c r="M897" s="3"/>
    </row>
    <row r="898" ht="12.75" customHeight="1">
      <c r="E898" s="2"/>
      <c r="F898" s="2"/>
      <c r="G898" s="2"/>
      <c r="H898" s="2"/>
      <c r="I898" s="2"/>
      <c r="J898" s="2"/>
      <c r="K898" s="2"/>
      <c r="L898" s="2"/>
      <c r="M898" s="3"/>
    </row>
    <row r="899" ht="12.75" customHeight="1">
      <c r="E899" s="2"/>
      <c r="F899" s="2"/>
      <c r="G899" s="2"/>
      <c r="H899" s="2"/>
      <c r="I899" s="2"/>
      <c r="J899" s="2"/>
      <c r="K899" s="2"/>
      <c r="L899" s="2"/>
      <c r="M899" s="3"/>
    </row>
    <row r="900" ht="12.75" customHeight="1">
      <c r="E900" s="2"/>
      <c r="F900" s="2"/>
      <c r="G900" s="2"/>
      <c r="H900" s="2"/>
      <c r="I900" s="2"/>
      <c r="J900" s="2"/>
      <c r="K900" s="2"/>
      <c r="L900" s="2"/>
      <c r="M900" s="3"/>
    </row>
    <row r="901" ht="12.75" customHeight="1">
      <c r="E901" s="2"/>
      <c r="F901" s="2"/>
      <c r="G901" s="2"/>
      <c r="H901" s="2"/>
      <c r="I901" s="2"/>
      <c r="J901" s="2"/>
      <c r="K901" s="2"/>
      <c r="L901" s="2"/>
      <c r="M901" s="3"/>
    </row>
    <row r="902" ht="12.75" customHeight="1">
      <c r="E902" s="2"/>
      <c r="F902" s="2"/>
      <c r="G902" s="2"/>
      <c r="H902" s="2"/>
      <c r="I902" s="2"/>
      <c r="J902" s="2"/>
      <c r="K902" s="2"/>
      <c r="L902" s="2"/>
      <c r="M902" s="3"/>
    </row>
    <row r="903" ht="12.75" customHeight="1">
      <c r="E903" s="2"/>
      <c r="F903" s="2"/>
      <c r="G903" s="2"/>
      <c r="H903" s="2"/>
      <c r="I903" s="2"/>
      <c r="J903" s="2"/>
      <c r="K903" s="2"/>
      <c r="L903" s="2"/>
      <c r="M903" s="3"/>
    </row>
    <row r="904" ht="12.75" customHeight="1">
      <c r="E904" s="2"/>
      <c r="F904" s="2"/>
      <c r="G904" s="2"/>
      <c r="H904" s="2"/>
      <c r="I904" s="2"/>
      <c r="J904" s="2"/>
      <c r="K904" s="2"/>
      <c r="L904" s="2"/>
      <c r="M904" s="3"/>
    </row>
    <row r="905" ht="12.75" customHeight="1">
      <c r="E905" s="2"/>
      <c r="F905" s="2"/>
      <c r="G905" s="2"/>
      <c r="H905" s="2"/>
      <c r="I905" s="2"/>
      <c r="J905" s="2"/>
      <c r="K905" s="2"/>
      <c r="L905" s="2"/>
      <c r="M905" s="3"/>
    </row>
    <row r="906" ht="12.75" customHeight="1">
      <c r="E906" s="2"/>
      <c r="F906" s="2"/>
      <c r="G906" s="2"/>
      <c r="H906" s="2"/>
      <c r="I906" s="2"/>
      <c r="J906" s="2"/>
      <c r="K906" s="2"/>
      <c r="L906" s="2"/>
      <c r="M906" s="3"/>
    </row>
    <row r="907" ht="12.75" customHeight="1">
      <c r="E907" s="2"/>
      <c r="F907" s="2"/>
      <c r="G907" s="2"/>
      <c r="H907" s="2"/>
      <c r="I907" s="2"/>
      <c r="J907" s="2"/>
      <c r="K907" s="2"/>
      <c r="L907" s="2"/>
      <c r="M907" s="3"/>
    </row>
    <row r="908" ht="12.75" customHeight="1">
      <c r="E908" s="2"/>
      <c r="F908" s="2"/>
      <c r="G908" s="2"/>
      <c r="H908" s="2"/>
      <c r="I908" s="2"/>
      <c r="J908" s="2"/>
      <c r="K908" s="2"/>
      <c r="L908" s="2"/>
      <c r="M908" s="3"/>
    </row>
    <row r="909" ht="12.75" customHeight="1">
      <c r="E909" s="2"/>
      <c r="F909" s="2"/>
      <c r="G909" s="2"/>
      <c r="H909" s="2"/>
      <c r="I909" s="2"/>
      <c r="J909" s="2"/>
      <c r="K909" s="2"/>
      <c r="L909" s="2"/>
      <c r="M909" s="3"/>
    </row>
    <row r="910" ht="12.75" customHeight="1">
      <c r="E910" s="2"/>
      <c r="F910" s="2"/>
      <c r="G910" s="2"/>
      <c r="H910" s="2"/>
      <c r="I910" s="2"/>
      <c r="J910" s="2"/>
      <c r="K910" s="2"/>
      <c r="L910" s="2"/>
      <c r="M910" s="3"/>
    </row>
    <row r="911" ht="12.75" customHeight="1">
      <c r="E911" s="2"/>
      <c r="F911" s="2"/>
      <c r="G911" s="2"/>
      <c r="H911" s="2"/>
      <c r="I911" s="2"/>
      <c r="J911" s="2"/>
      <c r="K911" s="2"/>
      <c r="L911" s="2"/>
      <c r="M911" s="3"/>
    </row>
    <row r="912" ht="12.75" customHeight="1">
      <c r="E912" s="2"/>
      <c r="F912" s="2"/>
      <c r="G912" s="2"/>
      <c r="H912" s="2"/>
      <c r="I912" s="2"/>
      <c r="J912" s="2"/>
      <c r="K912" s="2"/>
      <c r="L912" s="2"/>
      <c r="M912" s="3"/>
    </row>
    <row r="913" ht="12.75" customHeight="1">
      <c r="E913" s="2"/>
      <c r="F913" s="2"/>
      <c r="G913" s="2"/>
      <c r="H913" s="2"/>
      <c r="I913" s="2"/>
      <c r="J913" s="2"/>
      <c r="K913" s="2"/>
      <c r="L913" s="2"/>
      <c r="M913" s="3"/>
    </row>
    <row r="914" ht="12.75" customHeight="1">
      <c r="E914" s="2"/>
      <c r="F914" s="2"/>
      <c r="G914" s="2"/>
      <c r="H914" s="2"/>
      <c r="I914" s="2"/>
      <c r="J914" s="2"/>
      <c r="K914" s="2"/>
      <c r="L914" s="2"/>
      <c r="M914" s="3"/>
    </row>
    <row r="915" ht="12.75" customHeight="1">
      <c r="E915" s="2"/>
      <c r="F915" s="2"/>
      <c r="G915" s="2"/>
      <c r="H915" s="2"/>
      <c r="I915" s="2"/>
      <c r="J915" s="2"/>
      <c r="K915" s="2"/>
      <c r="L915" s="2"/>
      <c r="M915" s="3"/>
    </row>
    <row r="916" ht="12.75" customHeight="1">
      <c r="E916" s="2"/>
      <c r="F916" s="2"/>
      <c r="G916" s="2"/>
      <c r="H916" s="2"/>
      <c r="I916" s="2"/>
      <c r="J916" s="2"/>
      <c r="K916" s="2"/>
      <c r="L916" s="2"/>
      <c r="M916" s="3"/>
    </row>
    <row r="917" ht="12.75" customHeight="1">
      <c r="E917" s="2"/>
      <c r="F917" s="2"/>
      <c r="G917" s="2"/>
      <c r="H917" s="2"/>
      <c r="I917" s="2"/>
      <c r="J917" s="2"/>
      <c r="K917" s="2"/>
      <c r="L917" s="2"/>
      <c r="M917" s="3"/>
    </row>
    <row r="918" ht="12.75" customHeight="1">
      <c r="E918" s="2"/>
      <c r="F918" s="2"/>
      <c r="G918" s="2"/>
      <c r="H918" s="2"/>
      <c r="I918" s="2"/>
      <c r="J918" s="2"/>
      <c r="K918" s="2"/>
      <c r="L918" s="2"/>
      <c r="M918" s="3"/>
    </row>
    <row r="919" ht="12.75" customHeight="1">
      <c r="E919" s="2"/>
      <c r="F919" s="2"/>
      <c r="G919" s="2"/>
      <c r="H919" s="2"/>
      <c r="I919" s="2"/>
      <c r="J919" s="2"/>
      <c r="K919" s="2"/>
      <c r="L919" s="2"/>
      <c r="M919" s="3"/>
    </row>
    <row r="920" ht="12.75" customHeight="1">
      <c r="E920" s="2"/>
      <c r="F920" s="2"/>
      <c r="G920" s="2"/>
      <c r="H920" s="2"/>
      <c r="I920" s="2"/>
      <c r="J920" s="2"/>
      <c r="K920" s="2"/>
      <c r="L920" s="2"/>
      <c r="M920" s="3"/>
    </row>
    <row r="921" ht="12.75" customHeight="1">
      <c r="E921" s="2"/>
      <c r="F921" s="2"/>
      <c r="G921" s="2"/>
      <c r="H921" s="2"/>
      <c r="I921" s="2"/>
      <c r="J921" s="2"/>
      <c r="K921" s="2"/>
      <c r="L921" s="2"/>
      <c r="M921" s="3"/>
    </row>
    <row r="922" ht="12.75" customHeight="1">
      <c r="E922" s="2"/>
      <c r="F922" s="2"/>
      <c r="G922" s="2"/>
      <c r="H922" s="2"/>
      <c r="I922" s="2"/>
      <c r="J922" s="2"/>
      <c r="K922" s="2"/>
      <c r="L922" s="2"/>
      <c r="M922" s="3"/>
    </row>
    <row r="923" ht="12.75" customHeight="1">
      <c r="E923" s="2"/>
      <c r="F923" s="2"/>
      <c r="G923" s="2"/>
      <c r="H923" s="2"/>
      <c r="I923" s="2"/>
      <c r="J923" s="2"/>
      <c r="K923" s="2"/>
      <c r="L923" s="2"/>
      <c r="M923" s="3"/>
    </row>
    <row r="924" ht="12.75" customHeight="1">
      <c r="E924" s="2"/>
      <c r="F924" s="2"/>
      <c r="G924" s="2"/>
      <c r="H924" s="2"/>
      <c r="I924" s="2"/>
      <c r="J924" s="2"/>
      <c r="K924" s="2"/>
      <c r="L924" s="2"/>
      <c r="M924" s="3"/>
    </row>
    <row r="925" ht="12.75" customHeight="1">
      <c r="E925" s="2"/>
      <c r="F925" s="2"/>
      <c r="G925" s="2"/>
      <c r="H925" s="2"/>
      <c r="I925" s="2"/>
      <c r="J925" s="2"/>
      <c r="K925" s="2"/>
      <c r="L925" s="2"/>
      <c r="M925" s="3"/>
    </row>
    <row r="926" ht="12.75" customHeight="1">
      <c r="E926" s="2"/>
      <c r="F926" s="2"/>
      <c r="G926" s="2"/>
      <c r="H926" s="2"/>
      <c r="I926" s="2"/>
      <c r="J926" s="2"/>
      <c r="K926" s="2"/>
      <c r="L926" s="2"/>
      <c r="M926" s="3"/>
    </row>
    <row r="927" ht="12.75" customHeight="1">
      <c r="E927" s="2"/>
      <c r="F927" s="2"/>
      <c r="G927" s="2"/>
      <c r="H927" s="2"/>
      <c r="I927" s="2"/>
      <c r="J927" s="2"/>
      <c r="K927" s="2"/>
      <c r="L927" s="2"/>
      <c r="M927" s="3"/>
    </row>
    <row r="928" ht="12.75" customHeight="1">
      <c r="E928" s="2"/>
      <c r="F928" s="2"/>
      <c r="G928" s="2"/>
      <c r="H928" s="2"/>
      <c r="I928" s="2"/>
      <c r="J928" s="2"/>
      <c r="K928" s="2"/>
      <c r="L928" s="2"/>
      <c r="M928" s="3"/>
    </row>
    <row r="929" ht="12.75" customHeight="1">
      <c r="E929" s="2"/>
      <c r="F929" s="2"/>
      <c r="G929" s="2"/>
      <c r="H929" s="2"/>
      <c r="I929" s="2"/>
      <c r="J929" s="2"/>
      <c r="K929" s="2"/>
      <c r="L929" s="2"/>
      <c r="M929" s="3"/>
    </row>
    <row r="930" ht="12.75" customHeight="1">
      <c r="E930" s="2"/>
      <c r="F930" s="2"/>
      <c r="G930" s="2"/>
      <c r="H930" s="2"/>
      <c r="I930" s="2"/>
      <c r="J930" s="2"/>
      <c r="K930" s="2"/>
      <c r="L930" s="2"/>
      <c r="M930" s="3"/>
    </row>
    <row r="931" ht="12.75" customHeight="1">
      <c r="E931" s="2"/>
      <c r="F931" s="2"/>
      <c r="G931" s="2"/>
      <c r="H931" s="2"/>
      <c r="I931" s="2"/>
      <c r="J931" s="2"/>
      <c r="K931" s="2"/>
      <c r="L931" s="2"/>
      <c r="M931" s="3"/>
    </row>
    <row r="932" ht="12.75" customHeight="1">
      <c r="E932" s="2"/>
      <c r="F932" s="2"/>
      <c r="G932" s="2"/>
      <c r="H932" s="2"/>
      <c r="I932" s="2"/>
      <c r="J932" s="2"/>
      <c r="K932" s="2"/>
      <c r="L932" s="2"/>
      <c r="M932" s="3"/>
    </row>
    <row r="933" ht="12.75" customHeight="1">
      <c r="E933" s="2"/>
      <c r="F933" s="2"/>
      <c r="G933" s="2"/>
      <c r="H933" s="2"/>
      <c r="I933" s="2"/>
      <c r="J933" s="2"/>
      <c r="K933" s="2"/>
      <c r="L933" s="2"/>
      <c r="M933" s="3"/>
    </row>
    <row r="934" ht="12.75" customHeight="1">
      <c r="E934" s="2"/>
      <c r="F934" s="2"/>
      <c r="G934" s="2"/>
      <c r="H934" s="2"/>
      <c r="I934" s="2"/>
      <c r="J934" s="2"/>
      <c r="K934" s="2"/>
      <c r="L934" s="2"/>
      <c r="M934" s="3"/>
    </row>
    <row r="935" ht="12.75" customHeight="1">
      <c r="E935" s="2"/>
      <c r="F935" s="2"/>
      <c r="G935" s="2"/>
      <c r="H935" s="2"/>
      <c r="I935" s="2"/>
      <c r="J935" s="2"/>
      <c r="K935" s="2"/>
      <c r="L935" s="2"/>
      <c r="M935" s="3"/>
    </row>
    <row r="936" ht="12.75" customHeight="1">
      <c r="E936" s="2"/>
      <c r="F936" s="2"/>
      <c r="G936" s="2"/>
      <c r="H936" s="2"/>
      <c r="I936" s="2"/>
      <c r="J936" s="2"/>
      <c r="K936" s="2"/>
      <c r="L936" s="2"/>
      <c r="M936" s="3"/>
    </row>
    <row r="937" ht="12.75" customHeight="1">
      <c r="E937" s="2"/>
      <c r="F937" s="2"/>
      <c r="G937" s="2"/>
      <c r="H937" s="2"/>
      <c r="I937" s="2"/>
      <c r="J937" s="2"/>
      <c r="K937" s="2"/>
      <c r="L937" s="2"/>
      <c r="M937" s="3"/>
    </row>
    <row r="938" ht="12.75" customHeight="1">
      <c r="E938" s="2"/>
      <c r="F938" s="2"/>
      <c r="G938" s="2"/>
      <c r="H938" s="2"/>
      <c r="I938" s="2"/>
      <c r="J938" s="2"/>
      <c r="K938" s="2"/>
      <c r="L938" s="2"/>
      <c r="M938" s="3"/>
    </row>
    <row r="939" ht="12.75" customHeight="1">
      <c r="E939" s="2"/>
      <c r="F939" s="2"/>
      <c r="G939" s="2"/>
      <c r="H939" s="2"/>
      <c r="I939" s="2"/>
      <c r="J939" s="2"/>
      <c r="K939" s="2"/>
      <c r="L939" s="2"/>
      <c r="M939" s="3"/>
    </row>
    <row r="940" ht="12.75" customHeight="1">
      <c r="E940" s="2"/>
      <c r="F940" s="2"/>
      <c r="G940" s="2"/>
      <c r="H940" s="2"/>
      <c r="I940" s="2"/>
      <c r="J940" s="2"/>
      <c r="K940" s="2"/>
      <c r="L940" s="2"/>
      <c r="M940" s="3"/>
    </row>
    <row r="941" ht="12.75" customHeight="1">
      <c r="E941" s="2"/>
      <c r="F941" s="2"/>
      <c r="G941" s="2"/>
      <c r="H941" s="2"/>
      <c r="I941" s="2"/>
      <c r="J941" s="2"/>
      <c r="K941" s="2"/>
      <c r="L941" s="2"/>
      <c r="M941" s="3"/>
    </row>
    <row r="942" ht="12.75" customHeight="1">
      <c r="E942" s="2"/>
      <c r="F942" s="2"/>
      <c r="G942" s="2"/>
      <c r="H942" s="2"/>
      <c r="I942" s="2"/>
      <c r="J942" s="2"/>
      <c r="K942" s="2"/>
      <c r="L942" s="2"/>
      <c r="M942" s="3"/>
    </row>
    <row r="943" ht="12.75" customHeight="1">
      <c r="E943" s="2"/>
      <c r="F943" s="2"/>
      <c r="G943" s="2"/>
      <c r="H943" s="2"/>
      <c r="I943" s="2"/>
      <c r="J943" s="2"/>
      <c r="K943" s="2"/>
      <c r="L943" s="2"/>
      <c r="M943" s="3"/>
    </row>
    <row r="944" ht="12.75" customHeight="1">
      <c r="E944" s="2"/>
      <c r="F944" s="2"/>
      <c r="G944" s="2"/>
      <c r="H944" s="2"/>
      <c r="I944" s="2"/>
      <c r="J944" s="2"/>
      <c r="K944" s="2"/>
      <c r="L944" s="2"/>
      <c r="M944" s="3"/>
    </row>
    <row r="945" ht="12.75" customHeight="1">
      <c r="E945" s="2"/>
      <c r="F945" s="2"/>
      <c r="G945" s="2"/>
      <c r="H945" s="2"/>
      <c r="I945" s="2"/>
      <c r="J945" s="2"/>
      <c r="K945" s="2"/>
      <c r="L945" s="2"/>
      <c r="M945" s="3"/>
    </row>
    <row r="946" ht="12.75" customHeight="1">
      <c r="E946" s="2"/>
      <c r="F946" s="2"/>
      <c r="G946" s="2"/>
      <c r="H946" s="2"/>
      <c r="I946" s="2"/>
      <c r="J946" s="2"/>
      <c r="K946" s="2"/>
      <c r="L946" s="2"/>
      <c r="M946" s="3"/>
    </row>
    <row r="947" ht="12.75" customHeight="1">
      <c r="E947" s="2"/>
      <c r="F947" s="2"/>
      <c r="G947" s="2"/>
      <c r="H947" s="2"/>
      <c r="I947" s="2"/>
      <c r="J947" s="2"/>
      <c r="K947" s="2"/>
      <c r="L947" s="2"/>
      <c r="M947" s="3"/>
    </row>
    <row r="948" ht="12.75" customHeight="1">
      <c r="E948" s="2"/>
      <c r="F948" s="2"/>
      <c r="G948" s="2"/>
      <c r="H948" s="2"/>
      <c r="I948" s="2"/>
      <c r="J948" s="2"/>
      <c r="K948" s="2"/>
      <c r="L948" s="2"/>
      <c r="M948" s="3"/>
    </row>
    <row r="949" ht="12.75" customHeight="1">
      <c r="E949" s="2"/>
      <c r="F949" s="2"/>
      <c r="G949" s="2"/>
      <c r="H949" s="2"/>
      <c r="I949" s="2"/>
      <c r="J949" s="2"/>
      <c r="K949" s="2"/>
      <c r="L949" s="2"/>
      <c r="M949" s="3"/>
    </row>
    <row r="950" ht="12.75" customHeight="1">
      <c r="E950" s="2"/>
      <c r="F950" s="2"/>
      <c r="G950" s="2"/>
      <c r="H950" s="2"/>
      <c r="I950" s="2"/>
      <c r="J950" s="2"/>
      <c r="K950" s="2"/>
      <c r="L950" s="2"/>
      <c r="M950" s="3"/>
    </row>
    <row r="951" ht="12.75" customHeight="1">
      <c r="E951" s="2"/>
      <c r="F951" s="2"/>
      <c r="G951" s="2"/>
      <c r="H951" s="2"/>
      <c r="I951" s="2"/>
      <c r="J951" s="2"/>
      <c r="K951" s="2"/>
      <c r="L951" s="2"/>
      <c r="M951" s="3"/>
    </row>
    <row r="952" ht="12.75" customHeight="1">
      <c r="E952" s="2"/>
      <c r="F952" s="2"/>
      <c r="G952" s="2"/>
      <c r="H952" s="2"/>
      <c r="I952" s="2"/>
      <c r="J952" s="2"/>
      <c r="K952" s="2"/>
      <c r="L952" s="2"/>
      <c r="M952" s="3"/>
    </row>
    <row r="953" ht="12.75" customHeight="1">
      <c r="E953" s="2"/>
      <c r="F953" s="2"/>
      <c r="G953" s="2"/>
      <c r="H953" s="2"/>
      <c r="I953" s="2"/>
      <c r="J953" s="2"/>
      <c r="K953" s="2"/>
      <c r="L953" s="2"/>
      <c r="M953" s="3"/>
    </row>
    <row r="954" ht="12.75" customHeight="1">
      <c r="E954" s="2"/>
      <c r="F954" s="2"/>
      <c r="G954" s="2"/>
      <c r="H954" s="2"/>
      <c r="I954" s="2"/>
      <c r="J954" s="2"/>
      <c r="K954" s="2"/>
      <c r="L954" s="2"/>
      <c r="M954" s="3"/>
    </row>
    <row r="955" ht="12.75" customHeight="1">
      <c r="E955" s="2"/>
      <c r="F955" s="2"/>
      <c r="G955" s="2"/>
      <c r="H955" s="2"/>
      <c r="I955" s="2"/>
      <c r="J955" s="2"/>
      <c r="K955" s="2"/>
      <c r="L955" s="2"/>
      <c r="M955" s="3"/>
    </row>
    <row r="956" ht="12.75" customHeight="1">
      <c r="E956" s="2"/>
      <c r="F956" s="2"/>
      <c r="G956" s="2"/>
      <c r="H956" s="2"/>
      <c r="I956" s="2"/>
      <c r="J956" s="2"/>
      <c r="K956" s="2"/>
      <c r="L956" s="2"/>
      <c r="M956" s="3"/>
    </row>
    <row r="957" ht="12.75" customHeight="1">
      <c r="E957" s="2"/>
      <c r="F957" s="2"/>
      <c r="G957" s="2"/>
      <c r="H957" s="2"/>
      <c r="I957" s="2"/>
      <c r="J957" s="2"/>
      <c r="K957" s="2"/>
      <c r="L957" s="2"/>
      <c r="M957" s="3"/>
    </row>
    <row r="958" ht="12.75" customHeight="1">
      <c r="E958" s="2"/>
      <c r="F958" s="2"/>
      <c r="G958" s="2"/>
      <c r="H958" s="2"/>
      <c r="I958" s="2"/>
      <c r="J958" s="2"/>
      <c r="K958" s="2"/>
      <c r="L958" s="2"/>
      <c r="M958" s="3"/>
    </row>
    <row r="959" ht="12.75" customHeight="1">
      <c r="E959" s="2"/>
      <c r="F959" s="2"/>
      <c r="G959" s="2"/>
      <c r="H959" s="2"/>
      <c r="I959" s="2"/>
      <c r="J959" s="2"/>
      <c r="K959" s="2"/>
      <c r="L959" s="2"/>
      <c r="M959" s="3"/>
    </row>
    <row r="960" ht="12.75" customHeight="1">
      <c r="E960" s="2"/>
      <c r="F960" s="2"/>
      <c r="G960" s="2"/>
      <c r="H960" s="2"/>
      <c r="I960" s="2"/>
      <c r="J960" s="2"/>
      <c r="K960" s="2"/>
      <c r="L960" s="2"/>
      <c r="M960" s="3"/>
    </row>
    <row r="961" ht="12.75" customHeight="1">
      <c r="E961" s="2"/>
      <c r="F961" s="2"/>
      <c r="G961" s="2"/>
      <c r="H961" s="2"/>
      <c r="I961" s="2"/>
      <c r="J961" s="2"/>
      <c r="K961" s="2"/>
      <c r="L961" s="2"/>
      <c r="M961" s="3"/>
    </row>
    <row r="962" ht="12.75" customHeight="1">
      <c r="E962" s="2"/>
      <c r="F962" s="2"/>
      <c r="G962" s="2"/>
      <c r="H962" s="2"/>
      <c r="I962" s="2"/>
      <c r="J962" s="2"/>
      <c r="K962" s="2"/>
      <c r="L962" s="2"/>
      <c r="M962" s="3"/>
    </row>
    <row r="963" ht="12.75" customHeight="1">
      <c r="E963" s="2"/>
      <c r="F963" s="2"/>
      <c r="G963" s="2"/>
      <c r="H963" s="2"/>
      <c r="I963" s="2"/>
      <c r="J963" s="2"/>
      <c r="K963" s="2"/>
      <c r="L963" s="2"/>
      <c r="M963" s="3"/>
    </row>
    <row r="964" ht="12.75" customHeight="1">
      <c r="E964" s="2"/>
      <c r="F964" s="2"/>
      <c r="G964" s="2"/>
      <c r="H964" s="2"/>
      <c r="I964" s="2"/>
      <c r="J964" s="2"/>
      <c r="K964" s="2"/>
      <c r="L964" s="2"/>
      <c r="M964" s="3"/>
    </row>
    <row r="965" ht="12.75" customHeight="1">
      <c r="E965" s="2"/>
      <c r="F965" s="2"/>
      <c r="G965" s="2"/>
      <c r="H965" s="2"/>
      <c r="I965" s="2"/>
      <c r="J965" s="2"/>
      <c r="K965" s="2"/>
      <c r="L965" s="2"/>
      <c r="M965" s="3"/>
    </row>
    <row r="966" ht="12.75" customHeight="1">
      <c r="E966" s="2"/>
      <c r="F966" s="2"/>
      <c r="G966" s="2"/>
      <c r="H966" s="2"/>
      <c r="I966" s="2"/>
      <c r="J966" s="2"/>
      <c r="K966" s="2"/>
      <c r="L966" s="2"/>
      <c r="M966" s="3"/>
    </row>
    <row r="967" ht="12.75" customHeight="1">
      <c r="E967" s="2"/>
      <c r="F967" s="2"/>
      <c r="G967" s="2"/>
      <c r="H967" s="2"/>
      <c r="I967" s="2"/>
      <c r="J967" s="2"/>
      <c r="K967" s="2"/>
      <c r="L967" s="2"/>
      <c r="M967" s="3"/>
    </row>
    <row r="968" ht="12.75" customHeight="1">
      <c r="E968" s="2"/>
      <c r="F968" s="2"/>
      <c r="G968" s="2"/>
      <c r="H968" s="2"/>
      <c r="I968" s="2"/>
      <c r="J968" s="2"/>
      <c r="K968" s="2"/>
      <c r="L968" s="2"/>
      <c r="M968" s="3"/>
    </row>
    <row r="969" ht="12.75" customHeight="1">
      <c r="E969" s="2"/>
      <c r="F969" s="2"/>
      <c r="G969" s="2"/>
      <c r="H969" s="2"/>
      <c r="I969" s="2"/>
      <c r="J969" s="2"/>
      <c r="K969" s="2"/>
      <c r="L969" s="2"/>
      <c r="M969" s="3"/>
    </row>
    <row r="970" ht="12.75" customHeight="1">
      <c r="E970" s="2"/>
      <c r="F970" s="2"/>
      <c r="G970" s="2"/>
      <c r="H970" s="2"/>
      <c r="I970" s="2"/>
      <c r="J970" s="2"/>
      <c r="K970" s="2"/>
      <c r="L970" s="2"/>
      <c r="M970" s="3"/>
    </row>
    <row r="971" ht="12.75" customHeight="1">
      <c r="E971" s="2"/>
      <c r="F971" s="2"/>
      <c r="G971" s="2"/>
      <c r="H971" s="2"/>
      <c r="I971" s="2"/>
      <c r="J971" s="2"/>
      <c r="K971" s="2"/>
      <c r="L971" s="2"/>
      <c r="M971" s="3"/>
    </row>
    <row r="972" ht="12.75" customHeight="1">
      <c r="E972" s="2"/>
      <c r="F972" s="2"/>
      <c r="G972" s="2"/>
      <c r="H972" s="2"/>
      <c r="I972" s="2"/>
      <c r="J972" s="2"/>
      <c r="K972" s="2"/>
      <c r="L972" s="2"/>
      <c r="M972" s="3"/>
    </row>
    <row r="973" ht="12.75" customHeight="1">
      <c r="E973" s="2"/>
      <c r="F973" s="2"/>
      <c r="G973" s="2"/>
      <c r="H973" s="2"/>
      <c r="I973" s="2"/>
      <c r="J973" s="2"/>
      <c r="K973" s="2"/>
      <c r="L973" s="2"/>
      <c r="M973" s="3"/>
    </row>
    <row r="974" ht="12.75" customHeight="1">
      <c r="E974" s="2"/>
      <c r="F974" s="2"/>
      <c r="G974" s="2"/>
      <c r="H974" s="2"/>
      <c r="I974" s="2"/>
      <c r="J974" s="2"/>
      <c r="K974" s="2"/>
      <c r="L974" s="2"/>
      <c r="M974" s="3"/>
    </row>
    <row r="975" ht="12.75" customHeight="1">
      <c r="E975" s="2"/>
      <c r="F975" s="2"/>
      <c r="G975" s="2"/>
      <c r="H975" s="2"/>
      <c r="I975" s="2"/>
      <c r="J975" s="2"/>
      <c r="K975" s="2"/>
      <c r="L975" s="2"/>
      <c r="M975" s="3"/>
    </row>
    <row r="976" ht="12.75" customHeight="1">
      <c r="E976" s="2"/>
      <c r="F976" s="2"/>
      <c r="G976" s="2"/>
      <c r="H976" s="2"/>
      <c r="I976" s="2"/>
      <c r="J976" s="2"/>
      <c r="K976" s="2"/>
      <c r="L976" s="2"/>
      <c r="M976" s="3"/>
    </row>
    <row r="977" ht="12.75" customHeight="1">
      <c r="E977" s="2"/>
      <c r="F977" s="2"/>
      <c r="G977" s="2"/>
      <c r="H977" s="2"/>
      <c r="I977" s="2"/>
      <c r="J977" s="2"/>
      <c r="K977" s="2"/>
      <c r="L977" s="2"/>
      <c r="M977" s="3"/>
    </row>
    <row r="978" ht="12.75" customHeight="1">
      <c r="E978" s="2"/>
      <c r="F978" s="2"/>
      <c r="G978" s="2"/>
      <c r="H978" s="2"/>
      <c r="I978" s="2"/>
      <c r="J978" s="2"/>
      <c r="K978" s="2"/>
      <c r="L978" s="2"/>
      <c r="M978" s="3"/>
    </row>
    <row r="979" ht="12.75" customHeight="1">
      <c r="E979" s="2"/>
      <c r="F979" s="2"/>
      <c r="G979" s="2"/>
      <c r="H979" s="2"/>
      <c r="I979" s="2"/>
      <c r="J979" s="2"/>
      <c r="K979" s="2"/>
      <c r="L979" s="2"/>
      <c r="M979" s="3"/>
    </row>
    <row r="980" ht="12.75" customHeight="1">
      <c r="E980" s="2"/>
      <c r="F980" s="2"/>
      <c r="G980" s="2"/>
      <c r="H980" s="2"/>
      <c r="I980" s="2"/>
      <c r="J980" s="2"/>
      <c r="K980" s="2"/>
      <c r="L980" s="2"/>
      <c r="M980" s="3"/>
    </row>
    <row r="981" ht="12.75" customHeight="1">
      <c r="E981" s="2"/>
      <c r="F981" s="2"/>
      <c r="G981" s="2"/>
      <c r="H981" s="2"/>
      <c r="I981" s="2"/>
      <c r="J981" s="2"/>
      <c r="K981" s="2"/>
      <c r="L981" s="2"/>
      <c r="M981" s="3"/>
    </row>
    <row r="982" ht="12.75" customHeight="1">
      <c r="E982" s="2"/>
      <c r="F982" s="2"/>
      <c r="G982" s="2"/>
      <c r="H982" s="2"/>
      <c r="I982" s="2"/>
      <c r="J982" s="2"/>
      <c r="K982" s="2"/>
      <c r="L982" s="2"/>
      <c r="M982" s="3"/>
    </row>
    <row r="983" ht="12.75" customHeight="1">
      <c r="E983" s="2"/>
      <c r="F983" s="2"/>
      <c r="G983" s="2"/>
      <c r="H983" s="2"/>
      <c r="I983" s="2"/>
      <c r="J983" s="2"/>
      <c r="K983" s="2"/>
      <c r="L983" s="2"/>
      <c r="M983" s="3"/>
    </row>
    <row r="984" ht="12.75" customHeight="1">
      <c r="E984" s="2"/>
      <c r="F984" s="2"/>
      <c r="G984" s="2"/>
      <c r="H984" s="2"/>
      <c r="I984" s="2"/>
      <c r="J984" s="2"/>
      <c r="K984" s="2"/>
      <c r="L984" s="2"/>
      <c r="M984" s="3"/>
    </row>
    <row r="985" ht="12.75" customHeight="1">
      <c r="E985" s="2"/>
      <c r="F985" s="2"/>
      <c r="G985" s="2"/>
      <c r="H985" s="2"/>
      <c r="I985" s="2"/>
      <c r="J985" s="2"/>
      <c r="K985" s="2"/>
      <c r="L985" s="2"/>
      <c r="M985" s="3"/>
    </row>
    <row r="986" ht="12.75" customHeight="1">
      <c r="E986" s="2"/>
      <c r="F986" s="2"/>
      <c r="G986" s="2"/>
      <c r="H986" s="2"/>
      <c r="I986" s="2"/>
      <c r="J986" s="2"/>
      <c r="K986" s="2"/>
      <c r="L986" s="2"/>
      <c r="M986" s="3"/>
    </row>
    <row r="987" ht="12.75" customHeight="1">
      <c r="E987" s="2"/>
      <c r="F987" s="2"/>
      <c r="G987" s="2"/>
      <c r="H987" s="2"/>
      <c r="I987" s="2"/>
      <c r="J987" s="2"/>
      <c r="K987" s="2"/>
      <c r="L987" s="2"/>
      <c r="M987" s="3"/>
    </row>
    <row r="988" ht="12.75" customHeight="1">
      <c r="E988" s="2"/>
      <c r="F988" s="2"/>
      <c r="G988" s="2"/>
      <c r="H988" s="2"/>
      <c r="I988" s="2"/>
      <c r="J988" s="2"/>
      <c r="K988" s="2"/>
      <c r="L988" s="2"/>
      <c r="M988" s="3"/>
    </row>
    <row r="989" ht="12.75" customHeight="1">
      <c r="E989" s="2"/>
      <c r="F989" s="2"/>
      <c r="G989" s="2"/>
      <c r="H989" s="2"/>
      <c r="I989" s="2"/>
      <c r="J989" s="2"/>
      <c r="K989" s="2"/>
      <c r="L989" s="2"/>
      <c r="M989" s="3"/>
    </row>
    <row r="990" ht="12.75" customHeight="1">
      <c r="E990" s="2"/>
      <c r="F990" s="2"/>
      <c r="G990" s="2"/>
      <c r="H990" s="2"/>
      <c r="I990" s="2"/>
      <c r="J990" s="2"/>
      <c r="K990" s="2"/>
      <c r="L990" s="2"/>
      <c r="M990" s="3"/>
    </row>
    <row r="991" ht="12.75" customHeight="1">
      <c r="E991" s="2"/>
      <c r="F991" s="2"/>
      <c r="G991" s="2"/>
      <c r="H991" s="2"/>
      <c r="I991" s="2"/>
      <c r="J991" s="2"/>
      <c r="K991" s="2"/>
      <c r="L991" s="2"/>
      <c r="M991" s="3"/>
    </row>
    <row r="992" ht="12.75" customHeight="1">
      <c r="E992" s="2"/>
      <c r="F992" s="2"/>
      <c r="G992" s="2"/>
      <c r="H992" s="2"/>
      <c r="I992" s="2"/>
      <c r="J992" s="2"/>
      <c r="K992" s="2"/>
      <c r="L992" s="2"/>
      <c r="M992" s="3"/>
    </row>
    <row r="993" ht="12.75" customHeight="1">
      <c r="E993" s="2"/>
      <c r="F993" s="2"/>
      <c r="G993" s="2"/>
      <c r="H993" s="2"/>
      <c r="I993" s="2"/>
      <c r="J993" s="2"/>
      <c r="K993" s="2"/>
      <c r="L993" s="2"/>
      <c r="M993" s="3"/>
    </row>
    <row r="994" ht="12.75" customHeight="1">
      <c r="E994" s="2"/>
      <c r="F994" s="2"/>
      <c r="G994" s="2"/>
      <c r="H994" s="2"/>
      <c r="I994" s="2"/>
      <c r="J994" s="2"/>
      <c r="K994" s="2"/>
      <c r="L994" s="2"/>
      <c r="M994" s="3"/>
    </row>
    <row r="995" ht="12.75" customHeight="1">
      <c r="E995" s="2"/>
      <c r="F995" s="2"/>
      <c r="G995" s="2"/>
      <c r="H995" s="2"/>
      <c r="I995" s="2"/>
      <c r="J995" s="2"/>
      <c r="K995" s="2"/>
      <c r="L995" s="2"/>
      <c r="M995" s="3"/>
    </row>
  </sheetData>
  <mergeCells count="68">
    <mergeCell ref="A9:B11"/>
    <mergeCell ref="C9:C13"/>
    <mergeCell ref="D9:D13"/>
    <mergeCell ref="E9:G9"/>
    <mergeCell ref="H9:L10"/>
    <mergeCell ref="M9:M11"/>
    <mergeCell ref="L11:L13"/>
    <mergeCell ref="M12:M13"/>
    <mergeCell ref="K106:M106"/>
    <mergeCell ref="N106:P106"/>
    <mergeCell ref="A107:C107"/>
    <mergeCell ref="D107:G107"/>
    <mergeCell ref="H107:J107"/>
    <mergeCell ref="K107:M107"/>
    <mergeCell ref="N107:P107"/>
    <mergeCell ref="E10:F11"/>
    <mergeCell ref="G10:G13"/>
    <mergeCell ref="E12:E13"/>
    <mergeCell ref="F12:F13"/>
    <mergeCell ref="A106:C106"/>
    <mergeCell ref="D106:G106"/>
    <mergeCell ref="H106:J106"/>
    <mergeCell ref="N10:N13"/>
    <mergeCell ref="O11:O13"/>
    <mergeCell ref="U12:W12"/>
    <mergeCell ref="X12:X13"/>
    <mergeCell ref="N9:R9"/>
    <mergeCell ref="O10:R10"/>
    <mergeCell ref="P11:R11"/>
    <mergeCell ref="T11:W11"/>
    <mergeCell ref="X11:AA11"/>
    <mergeCell ref="AB11:AB13"/>
    <mergeCell ref="R12:R13"/>
    <mergeCell ref="Y12:AA12"/>
    <mergeCell ref="AG11:AJ11"/>
    <mergeCell ref="AH12:AJ12"/>
    <mergeCell ref="AL11:AO11"/>
    <mergeCell ref="AM12:AO12"/>
    <mergeCell ref="AP11:AS11"/>
    <mergeCell ref="AQ12:AS12"/>
    <mergeCell ref="AU11:AX11"/>
    <mergeCell ref="AV12:AX12"/>
    <mergeCell ref="AY11:BB11"/>
    <mergeCell ref="AZ12:BB12"/>
    <mergeCell ref="AK11:AK13"/>
    <mergeCell ref="AT11:AT13"/>
    <mergeCell ref="AG12:AG13"/>
    <mergeCell ref="AL12:AL13"/>
    <mergeCell ref="AP12:AP13"/>
    <mergeCell ref="AU12:AU13"/>
    <mergeCell ref="AY12:AY13"/>
    <mergeCell ref="S9:AA10"/>
    <mergeCell ref="AB9:AJ10"/>
    <mergeCell ref="AK9:AS10"/>
    <mergeCell ref="AT9:BB10"/>
    <mergeCell ref="H11:H13"/>
    <mergeCell ref="I11:I13"/>
    <mergeCell ref="J11:J13"/>
    <mergeCell ref="K11:K13"/>
    <mergeCell ref="A12:A13"/>
    <mergeCell ref="B12:B13"/>
    <mergeCell ref="P12:P13"/>
    <mergeCell ref="Q12:Q13"/>
    <mergeCell ref="S11:S13"/>
    <mergeCell ref="T12:T13"/>
    <mergeCell ref="AC11:AF11"/>
    <mergeCell ref="AC12:AC13"/>
    <mergeCell ref="AD12:AF12"/>
  </mergeCells>
  <conditionalFormatting sqref="M1:M24 N16:BB16 M26:M29 N27:BB27 M34:BB34 M40:M87 N41:BB41 N52:BB52 N63:BB63 M89:M97 M99:M995">
    <cfRule type="cellIs" dxfId="0" priority="1" operator="notEqual">
      <formula>S1+AB1+AK1+AT</formula>
    </cfRule>
  </conditionalFormatting>
  <conditionalFormatting sqref="T14 X14 AC14 AG14 AL14 AP14">
    <cfRule type="cellIs" dxfId="1" priority="2" operator="greaterThan">
      <formula>27</formula>
    </cfRule>
  </conditionalFormatting>
  <conditionalFormatting sqref="M98">
    <cfRule type="cellIs" dxfId="2" priority="3" operator="greaterThan">
      <formula>240</formula>
    </cfRule>
  </conditionalFormatting>
  <conditionalFormatting sqref="M98">
    <cfRule type="cellIs" dxfId="3" priority="4" operator="lessThan">
      <formula>240</formula>
    </cfRule>
  </conditionalFormatting>
  <conditionalFormatting sqref="B65:B67 B77:B79">
    <cfRule type="expression" dxfId="0" priority="5">
      <formula>COUNTIF(B:B,B65)&gt;1</formula>
    </cfRule>
  </conditionalFormatting>
  <conditionalFormatting sqref="M35">
    <cfRule type="cellIs" dxfId="0" priority="6" operator="notEqual">
      <formula>S35+AB35+AK35+AT</formula>
    </cfRule>
  </conditionalFormatting>
  <conditionalFormatting sqref="M25">
    <cfRule type="cellIs" dxfId="0" priority="7" operator="notEqual">
      <formula>S25+AB25+AK25+AT</formula>
    </cfRule>
  </conditionalFormatting>
  <conditionalFormatting sqref="M31">
    <cfRule type="cellIs" dxfId="0" priority="8" operator="notEqual">
      <formula>S31+AB31+AK31+AT</formula>
    </cfRule>
  </conditionalFormatting>
  <conditionalFormatting sqref="M36">
    <cfRule type="cellIs" dxfId="0" priority="9" operator="notEqual">
      <formula>S36+AB36+AK36+AT</formula>
    </cfRule>
  </conditionalFormatting>
  <conditionalFormatting sqref="M32">
    <cfRule type="cellIs" dxfId="0" priority="10" operator="notEqual">
      <formula>S32+AB32+AK32+AT</formula>
    </cfRule>
  </conditionalFormatting>
  <conditionalFormatting sqref="M33">
    <cfRule type="cellIs" dxfId="0" priority="11" operator="notEqual">
      <formula>S33+AB33+AK33+AT</formula>
    </cfRule>
  </conditionalFormatting>
  <conditionalFormatting sqref="N32">
    <cfRule type="cellIs" dxfId="0" priority="12" operator="notEqual">
      <formula>T32+AC32+AL32+AT</formula>
    </cfRule>
  </conditionalFormatting>
  <conditionalFormatting sqref="N33">
    <cfRule type="cellIs" dxfId="0" priority="13" operator="notEqual">
      <formula>T33+AC33+AL33+AT</formula>
    </cfRule>
  </conditionalFormatting>
  <conditionalFormatting sqref="M30">
    <cfRule type="cellIs" dxfId="0" priority="14" operator="notEqual">
      <formula>S30+AB30+AK30+AT</formula>
    </cfRule>
  </conditionalFormatting>
  <conditionalFormatting sqref="N30">
    <cfRule type="cellIs" dxfId="0" priority="15" operator="notEqual">
      <formula>T30+AC30+AL30+AT</formula>
    </cfRule>
  </conditionalFormatting>
  <conditionalFormatting sqref="N29">
    <cfRule type="cellIs" dxfId="0" priority="16" operator="notEqual">
      <formula>T29+AC29+AL29+AT</formula>
    </cfRule>
  </conditionalFormatting>
  <conditionalFormatting sqref="M37">
    <cfRule type="cellIs" dxfId="0" priority="17" operator="notEqual">
      <formula>S37+AB37+AK37+AT</formula>
    </cfRule>
  </conditionalFormatting>
  <conditionalFormatting sqref="M38">
    <cfRule type="cellIs" dxfId="0" priority="18" operator="notEqual">
      <formula>S38+AB38+AK38+AT</formula>
    </cfRule>
  </conditionalFormatting>
  <conditionalFormatting sqref="M39">
    <cfRule type="cellIs" dxfId="0" priority="19" operator="notEqual">
      <formula>S39+AB39+AK39+AT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9.14"/>
    <col customWidth="1" min="2" max="2" width="3.43"/>
    <col customWidth="1" min="3" max="3" width="17.86"/>
    <col customWidth="1" min="4" max="30" width="6.0"/>
  </cols>
  <sheetData>
    <row r="1" ht="12.75" customHeight="1">
      <c r="A1" s="4" t="s">
        <v>212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</row>
    <row r="2" ht="12.75" customHeight="1">
      <c r="A2" s="287"/>
      <c r="B2" s="288"/>
      <c r="C2" s="289"/>
      <c r="D2" s="290" t="s">
        <v>213</v>
      </c>
      <c r="E2" s="290" t="s">
        <v>214</v>
      </c>
      <c r="F2" s="290" t="s">
        <v>215</v>
      </c>
      <c r="G2" s="290" t="s">
        <v>216</v>
      </c>
      <c r="H2" s="290" t="s">
        <v>217</v>
      </c>
      <c r="I2" s="290" t="s">
        <v>218</v>
      </c>
      <c r="J2" s="290" t="s">
        <v>200</v>
      </c>
      <c r="K2" s="290" t="s">
        <v>219</v>
      </c>
      <c r="L2" s="290" t="s">
        <v>220</v>
      </c>
      <c r="M2" s="290" t="s">
        <v>221</v>
      </c>
      <c r="N2" s="290" t="s">
        <v>222</v>
      </c>
      <c r="O2" s="290" t="s">
        <v>223</v>
      </c>
      <c r="P2" s="290" t="s">
        <v>224</v>
      </c>
      <c r="Q2" s="290" t="s">
        <v>225</v>
      </c>
      <c r="R2" s="290" t="s">
        <v>226</v>
      </c>
      <c r="S2" s="291" t="s">
        <v>227</v>
      </c>
      <c r="T2" s="291" t="s">
        <v>228</v>
      </c>
      <c r="U2" s="291" t="s">
        <v>229</v>
      </c>
      <c r="V2" s="291" t="s">
        <v>230</v>
      </c>
      <c r="W2" s="291" t="s">
        <v>231</v>
      </c>
      <c r="X2" s="291" t="s">
        <v>232</v>
      </c>
      <c r="Y2" s="291" t="s">
        <v>233</v>
      </c>
      <c r="Z2" s="290" t="s">
        <v>234</v>
      </c>
      <c r="AA2" s="290" t="s">
        <v>235</v>
      </c>
      <c r="AB2" s="290" t="s">
        <v>236</v>
      </c>
      <c r="AC2" s="290" t="s">
        <v>237</v>
      </c>
      <c r="AD2" s="290" t="s">
        <v>238</v>
      </c>
    </row>
    <row r="3" ht="12.75" customHeight="1">
      <c r="A3" s="292"/>
      <c r="B3" s="293"/>
      <c r="C3" s="294"/>
      <c r="D3" s="295">
        <f t="shared" ref="D3:AD3" si="1">COUNTA(D4:D44)</f>
        <v>3</v>
      </c>
      <c r="E3" s="295">
        <f t="shared" si="1"/>
        <v>2</v>
      </c>
      <c r="F3" s="295">
        <f t="shared" si="1"/>
        <v>3</v>
      </c>
      <c r="G3" s="295">
        <f t="shared" si="1"/>
        <v>1</v>
      </c>
      <c r="H3" s="295">
        <f t="shared" si="1"/>
        <v>1</v>
      </c>
      <c r="I3" s="295">
        <f t="shared" si="1"/>
        <v>1</v>
      </c>
      <c r="J3" s="295">
        <f t="shared" si="1"/>
        <v>1</v>
      </c>
      <c r="K3" s="295">
        <f t="shared" si="1"/>
        <v>1</v>
      </c>
      <c r="L3" s="295">
        <f t="shared" si="1"/>
        <v>1</v>
      </c>
      <c r="M3" s="295">
        <f t="shared" si="1"/>
        <v>1</v>
      </c>
      <c r="N3" s="295">
        <f t="shared" si="1"/>
        <v>1</v>
      </c>
      <c r="O3" s="295">
        <f t="shared" si="1"/>
        <v>1</v>
      </c>
      <c r="P3" s="295">
        <f t="shared" si="1"/>
        <v>3</v>
      </c>
      <c r="Q3" s="295">
        <f t="shared" si="1"/>
        <v>1</v>
      </c>
      <c r="R3" s="295">
        <f t="shared" si="1"/>
        <v>1</v>
      </c>
      <c r="S3" s="296">
        <f t="shared" si="1"/>
        <v>7</v>
      </c>
      <c r="T3" s="295">
        <f t="shared" si="1"/>
        <v>7</v>
      </c>
      <c r="U3" s="295">
        <f t="shared" si="1"/>
        <v>1</v>
      </c>
      <c r="V3" s="295">
        <f t="shared" si="1"/>
        <v>4</v>
      </c>
      <c r="W3" s="295">
        <f t="shared" si="1"/>
        <v>1</v>
      </c>
      <c r="X3" s="295">
        <f t="shared" si="1"/>
        <v>2</v>
      </c>
      <c r="Y3" s="296">
        <f t="shared" si="1"/>
        <v>5</v>
      </c>
      <c r="Z3" s="295">
        <f t="shared" si="1"/>
        <v>3</v>
      </c>
      <c r="AA3" s="295">
        <f t="shared" si="1"/>
        <v>2</v>
      </c>
      <c r="AB3" s="295">
        <f t="shared" si="1"/>
        <v>1</v>
      </c>
      <c r="AC3" s="295">
        <f t="shared" si="1"/>
        <v>2</v>
      </c>
      <c r="AD3" s="295">
        <f t="shared" si="1"/>
        <v>1</v>
      </c>
    </row>
    <row r="4" ht="12.75" customHeight="1">
      <c r="A4" s="297" t="s">
        <v>49</v>
      </c>
      <c r="B4" s="298">
        <f t="shared" ref="B4:B18" si="2">COUNTA(D4:AD4)</f>
        <v>1</v>
      </c>
      <c r="C4" s="298" t="str">
        <f>IFERROR(__xludf.DUMMYFUNCTION("TEXTJOIN("", "", 1, FILTER($D$2:$AD$2, D4:AD4=1))"),"УК-1")</f>
        <v>УК-1</v>
      </c>
      <c r="D4" s="299">
        <v>1.0</v>
      </c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300"/>
      <c r="T4" s="299"/>
      <c r="U4" s="299"/>
      <c r="V4" s="299"/>
      <c r="W4" s="299"/>
      <c r="X4" s="301"/>
      <c r="Y4" s="299"/>
      <c r="Z4" s="299"/>
      <c r="AA4" s="299"/>
      <c r="AB4" s="302"/>
      <c r="AC4" s="302"/>
      <c r="AD4" s="301"/>
    </row>
    <row r="5" ht="12.75" customHeight="1">
      <c r="A5" s="303" t="s">
        <v>53</v>
      </c>
      <c r="B5" s="298">
        <f t="shared" si="2"/>
        <v>2</v>
      </c>
      <c r="C5" s="298" t="str">
        <f>IFERROR(__xludf.DUMMYFUNCTION("TEXTJOIN("", "", 1, FILTER($D$2:$AD$2, D5:AD5=1))"),"УК-1, УК-15")</f>
        <v>УК-1, УК-15</v>
      </c>
      <c r="D5" s="295">
        <v>1.0</v>
      </c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>
        <v>1.0</v>
      </c>
      <c r="S5" s="296"/>
      <c r="T5" s="295"/>
      <c r="U5" s="295"/>
      <c r="V5" s="295"/>
      <c r="W5" s="295"/>
      <c r="X5" s="294"/>
      <c r="Y5" s="295"/>
      <c r="Z5" s="295"/>
      <c r="AA5" s="295"/>
      <c r="AB5" s="295"/>
      <c r="AC5" s="295"/>
      <c r="AD5" s="304"/>
    </row>
    <row r="6" ht="12.75" customHeight="1">
      <c r="A6" s="292" t="s">
        <v>56</v>
      </c>
      <c r="B6" s="298">
        <f t="shared" si="2"/>
        <v>1</v>
      </c>
      <c r="C6" s="298" t="str">
        <f>IFERROR(__xludf.DUMMYFUNCTION("TEXTJOIN("", "", 1, FILTER($D$2:$AD$2, D6:AD6=1))"),"УК-7")</f>
        <v>УК-7</v>
      </c>
      <c r="D6" s="295"/>
      <c r="E6" s="295"/>
      <c r="F6" s="295"/>
      <c r="G6" s="295"/>
      <c r="H6" s="295"/>
      <c r="I6" s="295"/>
      <c r="J6" s="295">
        <v>1.0</v>
      </c>
      <c r="K6" s="295"/>
      <c r="L6" s="295"/>
      <c r="M6" s="295"/>
      <c r="N6" s="295"/>
      <c r="O6" s="295"/>
      <c r="P6" s="295"/>
      <c r="Q6" s="295"/>
      <c r="R6" s="295"/>
      <c r="S6" s="296"/>
      <c r="T6" s="295"/>
      <c r="U6" s="295"/>
      <c r="V6" s="295"/>
      <c r="W6" s="295"/>
      <c r="X6" s="294"/>
      <c r="Y6" s="305"/>
      <c r="Z6" s="295"/>
      <c r="AA6" s="295"/>
      <c r="AB6" s="295"/>
      <c r="AC6" s="295"/>
      <c r="AD6" s="294"/>
    </row>
    <row r="7" ht="12.75" customHeight="1">
      <c r="A7" s="292" t="s">
        <v>59</v>
      </c>
      <c r="B7" s="298">
        <f t="shared" si="2"/>
        <v>1</v>
      </c>
      <c r="C7" s="298" t="str">
        <f>IFERROR(__xludf.DUMMYFUNCTION("TEXTJOIN("", "", 1, FILTER($D$2:$AD$2, D7:AD7=1))"),"УК-6")</f>
        <v>УК-6</v>
      </c>
      <c r="D7" s="295"/>
      <c r="E7" s="295"/>
      <c r="F7" s="295"/>
      <c r="G7" s="295"/>
      <c r="H7" s="295"/>
      <c r="I7" s="295">
        <v>1.0</v>
      </c>
      <c r="J7" s="295"/>
      <c r="K7" s="295"/>
      <c r="L7" s="295"/>
      <c r="M7" s="295"/>
      <c r="N7" s="295"/>
      <c r="O7" s="295"/>
      <c r="P7" s="295"/>
      <c r="Q7" s="295"/>
      <c r="R7" s="295"/>
      <c r="S7" s="296"/>
      <c r="T7" s="295"/>
      <c r="U7" s="295"/>
      <c r="V7" s="295"/>
      <c r="W7" s="295"/>
      <c r="X7" s="294"/>
      <c r="Y7" s="295"/>
      <c r="Z7" s="306"/>
      <c r="AA7" s="295"/>
      <c r="AB7" s="295"/>
      <c r="AC7" s="295"/>
      <c r="AD7" s="294"/>
    </row>
    <row r="8" ht="12.75" customHeight="1">
      <c r="A8" s="292" t="s">
        <v>62</v>
      </c>
      <c r="B8" s="298">
        <f t="shared" si="2"/>
        <v>1</v>
      </c>
      <c r="C8" s="298" t="str">
        <f>IFERROR(__xludf.DUMMYFUNCTION("TEXTJOIN("", "", 1, FILTER($D$2:$AD$2, D8:AD8=1))"),"УК-3")</f>
        <v>УК-3</v>
      </c>
      <c r="D8" s="295"/>
      <c r="E8" s="295"/>
      <c r="F8" s="295">
        <v>1.0</v>
      </c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6"/>
      <c r="T8" s="295"/>
      <c r="U8" s="295"/>
      <c r="V8" s="295"/>
      <c r="W8" s="295"/>
      <c r="X8" s="294"/>
      <c r="Y8" s="295"/>
      <c r="Z8" s="295"/>
      <c r="AA8" s="305"/>
      <c r="AB8" s="295"/>
      <c r="AC8" s="295"/>
      <c r="AD8" s="294"/>
    </row>
    <row r="9" ht="12.75" customHeight="1">
      <c r="A9" s="292" t="s">
        <v>67</v>
      </c>
      <c r="B9" s="298">
        <f t="shared" si="2"/>
        <v>2</v>
      </c>
      <c r="C9" s="298" t="str">
        <f>IFERROR(__xludf.DUMMYFUNCTION("TEXTJOIN("", "", 1, FILTER($D$2:$AD$2, D9:AD9=1))"),"УК-2, УК-3")</f>
        <v>УК-2, УК-3</v>
      </c>
      <c r="D9" s="295"/>
      <c r="E9" s="295">
        <v>1.0</v>
      </c>
      <c r="F9" s="295">
        <v>1.0</v>
      </c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6"/>
      <c r="T9" s="295"/>
      <c r="U9" s="295"/>
      <c r="V9" s="295"/>
      <c r="W9" s="295"/>
      <c r="X9" s="294"/>
      <c r="Y9" s="295"/>
      <c r="Z9" s="295"/>
      <c r="AA9" s="295"/>
      <c r="AB9" s="295"/>
      <c r="AC9" s="295"/>
      <c r="AD9" s="294"/>
    </row>
    <row r="10" ht="12.75" customHeight="1">
      <c r="A10" s="292" t="s">
        <v>72</v>
      </c>
      <c r="B10" s="298">
        <f t="shared" si="2"/>
        <v>2</v>
      </c>
      <c r="C10" s="298" t="str">
        <f>IFERROR(__xludf.DUMMYFUNCTION("TEXTJOIN("", "", 1, FILTER($D$2:$AD$2, D10:AD10=1))"),"УК-1, УК-9")</f>
        <v>УК-1, УК-9</v>
      </c>
      <c r="D10" s="295">
        <v>1.0</v>
      </c>
      <c r="E10" s="295"/>
      <c r="F10" s="295"/>
      <c r="G10" s="295"/>
      <c r="H10" s="295"/>
      <c r="I10" s="295"/>
      <c r="J10" s="295"/>
      <c r="K10" s="295"/>
      <c r="L10" s="295">
        <v>1.0</v>
      </c>
      <c r="M10" s="295"/>
      <c r="N10" s="295"/>
      <c r="O10" s="295"/>
      <c r="P10" s="295"/>
      <c r="Q10" s="295"/>
      <c r="R10" s="295"/>
      <c r="S10" s="296"/>
      <c r="T10" s="295"/>
      <c r="U10" s="295"/>
      <c r="V10" s="295"/>
      <c r="W10" s="295"/>
      <c r="X10" s="294"/>
      <c r="Y10" s="295"/>
      <c r="Z10" s="295"/>
      <c r="AA10" s="295"/>
      <c r="AB10" s="295"/>
      <c r="AC10" s="295"/>
      <c r="AD10" s="294"/>
    </row>
    <row r="11" ht="12.75" customHeight="1">
      <c r="A11" s="292" t="s">
        <v>74</v>
      </c>
      <c r="B11" s="298">
        <f t="shared" si="2"/>
        <v>2</v>
      </c>
      <c r="C11" s="298" t="str">
        <f>IFERROR(__xludf.DUMMYFUNCTION("TEXTJOIN("", "", 1, FILTER($D$2:$AD$2, D11:AD11=1))"),"УК-5, УК-14")</f>
        <v>УК-5, УК-14</v>
      </c>
      <c r="D11" s="278"/>
      <c r="E11" s="295"/>
      <c r="F11" s="278"/>
      <c r="G11" s="278"/>
      <c r="H11" s="295">
        <v>1.0</v>
      </c>
      <c r="I11" s="295"/>
      <c r="J11" s="295"/>
      <c r="K11" s="295"/>
      <c r="L11" s="295"/>
      <c r="M11" s="295"/>
      <c r="N11" s="295"/>
      <c r="O11" s="295"/>
      <c r="P11" s="295"/>
      <c r="Q11" s="295">
        <v>1.0</v>
      </c>
      <c r="R11" s="295"/>
      <c r="S11" s="296"/>
      <c r="T11" s="295"/>
      <c r="U11" s="295"/>
      <c r="V11" s="295"/>
      <c r="W11" s="295"/>
      <c r="X11" s="294"/>
      <c r="Y11" s="295"/>
      <c r="Z11" s="295"/>
      <c r="AA11" s="295"/>
      <c r="AB11" s="295"/>
      <c r="AC11" s="295"/>
      <c r="AD11" s="294"/>
    </row>
    <row r="12" ht="12.75" customHeight="1">
      <c r="A12" s="292" t="s">
        <v>78</v>
      </c>
      <c r="B12" s="307">
        <f t="shared" si="2"/>
        <v>3</v>
      </c>
      <c r="C12" s="298" t="str">
        <f>IFERROR(__xludf.DUMMYFUNCTION("TEXTJOIN("", "", 1, FILTER($D$2:$AD$2, D12:AD12=1))"),"УК-2, УК-3, УК-11")</f>
        <v>УК-2, УК-3, УК-11</v>
      </c>
      <c r="D12" s="295"/>
      <c r="E12" s="295">
        <v>1.0</v>
      </c>
      <c r="F12" s="295">
        <v>1.0</v>
      </c>
      <c r="G12" s="295"/>
      <c r="H12" s="295"/>
      <c r="I12" s="295"/>
      <c r="J12" s="295"/>
      <c r="K12" s="295"/>
      <c r="L12" s="295"/>
      <c r="M12" s="295"/>
      <c r="N12" s="295">
        <v>1.0</v>
      </c>
      <c r="O12" s="295"/>
      <c r="P12" s="295"/>
      <c r="Q12" s="295"/>
      <c r="R12" s="295"/>
      <c r="S12" s="296"/>
      <c r="T12" s="295"/>
      <c r="U12" s="295"/>
      <c r="V12" s="295"/>
      <c r="W12" s="306"/>
      <c r="X12" s="294"/>
      <c r="Y12" s="295"/>
      <c r="Z12" s="295"/>
      <c r="AA12" s="295"/>
      <c r="AB12" s="295"/>
      <c r="AC12" s="295"/>
      <c r="AD12" s="294"/>
    </row>
    <row r="13" ht="21.75" customHeight="1">
      <c r="A13" s="297" t="s">
        <v>84</v>
      </c>
      <c r="B13" s="298">
        <f t="shared" si="2"/>
        <v>3</v>
      </c>
      <c r="C13" s="298" t="str">
        <f>IFERROR(__xludf.DUMMYFUNCTION("TEXTJOIN("", "", 1, FILTER($D$2:$AD$2, D13:AD13=1))"),"УК-8, ПКН-3, ПКН-6")</f>
        <v>УК-8, ПКН-3, ПКН-6</v>
      </c>
      <c r="D13" s="299"/>
      <c r="E13" s="299"/>
      <c r="F13" s="308"/>
      <c r="G13" s="299"/>
      <c r="H13" s="299"/>
      <c r="I13" s="308"/>
      <c r="J13" s="299"/>
      <c r="K13" s="299">
        <v>1.0</v>
      </c>
      <c r="L13" s="299"/>
      <c r="M13" s="299"/>
      <c r="N13" s="299"/>
      <c r="O13" s="299"/>
      <c r="P13" s="299"/>
      <c r="Q13" s="299"/>
      <c r="R13" s="299"/>
      <c r="S13" s="300"/>
      <c r="T13" s="299"/>
      <c r="U13" s="299">
        <v>1.0</v>
      </c>
      <c r="V13" s="299"/>
      <c r="W13" s="299"/>
      <c r="X13" s="301">
        <v>1.0</v>
      </c>
      <c r="Y13" s="299"/>
      <c r="Z13" s="299"/>
      <c r="AA13" s="299"/>
      <c r="AB13" s="299"/>
      <c r="AC13" s="299"/>
      <c r="AD13" s="301"/>
    </row>
    <row r="14" ht="12.75" customHeight="1">
      <c r="A14" s="292" t="s">
        <v>86</v>
      </c>
      <c r="B14" s="298">
        <f t="shared" si="2"/>
        <v>2</v>
      </c>
      <c r="C14" s="298" t="str">
        <f>IFERROR(__xludf.DUMMYFUNCTION("TEXTJOIN("", "", 1, FILTER($D$2:$AD$2, D14:AD14=1))"),"ПКН-1, ПКН-2")</f>
        <v>ПКН-1, ПКН-2</v>
      </c>
      <c r="D14" s="306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6">
        <v>1.0</v>
      </c>
      <c r="T14" s="295">
        <v>1.0</v>
      </c>
      <c r="U14" s="295"/>
      <c r="V14" s="295"/>
      <c r="W14" s="295"/>
      <c r="X14" s="294"/>
      <c r="Y14" s="295"/>
      <c r="Z14" s="295"/>
      <c r="AA14" s="295"/>
      <c r="AB14" s="295"/>
      <c r="AC14" s="295"/>
      <c r="AD14" s="294"/>
    </row>
    <row r="15" ht="12.75" customHeight="1">
      <c r="A15" s="292" t="s">
        <v>99</v>
      </c>
      <c r="B15" s="298">
        <f t="shared" si="2"/>
        <v>2</v>
      </c>
      <c r="C15" s="298" t="str">
        <f>IFERROR(__xludf.DUMMYFUNCTION("TEXTJOIN("", "", 1, FILTER($D$2:$AD$2, D15:AD15=1))"),"ПКН-2, ПКН-4")</f>
        <v>ПКН-2, ПКН-4</v>
      </c>
      <c r="D15" s="306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6"/>
      <c r="T15" s="295">
        <v>1.0</v>
      </c>
      <c r="U15" s="295"/>
      <c r="V15" s="295">
        <v>1.0</v>
      </c>
      <c r="W15" s="295"/>
      <c r="X15" s="294"/>
      <c r="Y15" s="295"/>
      <c r="Z15" s="295"/>
      <c r="AA15" s="295"/>
      <c r="AB15" s="295"/>
      <c r="AC15" s="295"/>
      <c r="AD15" s="294"/>
    </row>
    <row r="16" ht="12.75" customHeight="1">
      <c r="A16" s="292" t="s">
        <v>101</v>
      </c>
      <c r="B16" s="298">
        <f t="shared" si="2"/>
        <v>2</v>
      </c>
      <c r="C16" s="298" t="str">
        <f>IFERROR(__xludf.DUMMYFUNCTION("TEXTJOIN("", "", 1, FILTER($D$2:$AD$2, D16:AD16=1))"),"УК-10, ПКН-4")</f>
        <v>УК-10, ПКН-4</v>
      </c>
      <c r="D16" s="295"/>
      <c r="E16" s="295"/>
      <c r="F16" s="295"/>
      <c r="G16" s="295"/>
      <c r="H16" s="306"/>
      <c r="I16" s="306"/>
      <c r="J16" s="295"/>
      <c r="K16" s="295"/>
      <c r="L16" s="295"/>
      <c r="M16" s="295">
        <v>1.0</v>
      </c>
      <c r="N16" s="295"/>
      <c r="O16" s="295"/>
      <c r="P16" s="295"/>
      <c r="Q16" s="295"/>
      <c r="R16" s="295"/>
      <c r="S16" s="296"/>
      <c r="T16" s="295"/>
      <c r="U16" s="295"/>
      <c r="V16" s="295">
        <v>1.0</v>
      </c>
      <c r="W16" s="295"/>
      <c r="X16" s="294"/>
      <c r="Y16" s="295"/>
      <c r="Z16" s="295"/>
      <c r="AA16" s="295"/>
      <c r="AB16" s="295"/>
      <c r="AC16" s="295"/>
      <c r="AD16" s="294"/>
    </row>
    <row r="17" ht="12.75" customHeight="1">
      <c r="A17" s="292" t="s">
        <v>95</v>
      </c>
      <c r="B17" s="298">
        <f t="shared" si="2"/>
        <v>1</v>
      </c>
      <c r="C17" s="298" t="str">
        <f>IFERROR(__xludf.DUMMYFUNCTION("TEXTJOIN("", "", 1, FILTER($D$2:$AD$2, D17:AD17=1))"),"ПКН-1")</f>
        <v>ПКН-1</v>
      </c>
      <c r="D17" s="295"/>
      <c r="E17" s="295"/>
      <c r="F17" s="295"/>
      <c r="G17" s="295"/>
      <c r="H17" s="306"/>
      <c r="I17" s="306"/>
      <c r="J17" s="295"/>
      <c r="K17" s="295"/>
      <c r="L17" s="295"/>
      <c r="M17" s="295"/>
      <c r="N17" s="295"/>
      <c r="O17" s="295"/>
      <c r="P17" s="295"/>
      <c r="Q17" s="295"/>
      <c r="R17" s="295"/>
      <c r="S17" s="296">
        <v>1.0</v>
      </c>
      <c r="T17" s="295"/>
      <c r="U17" s="295"/>
      <c r="V17" s="295"/>
      <c r="W17" s="295"/>
      <c r="X17" s="294"/>
      <c r="Y17" s="295"/>
      <c r="Z17" s="295"/>
      <c r="AA17" s="295"/>
      <c r="AB17" s="295"/>
      <c r="AC17" s="295"/>
      <c r="AD17" s="294"/>
    </row>
    <row r="18" ht="12.75" customHeight="1">
      <c r="A18" s="309" t="s">
        <v>106</v>
      </c>
      <c r="B18" s="298">
        <f t="shared" si="2"/>
        <v>2</v>
      </c>
      <c r="C18" s="298" t="str">
        <f>IFERROR(__xludf.DUMMYFUNCTION("TEXTJOIN("", "", 1, FILTER($D$2:$AD$2, D18:AD18=1))"),"ПКН-4, ПКН-5")</f>
        <v>ПКН-4, ПКН-5</v>
      </c>
      <c r="D18" s="310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2"/>
      <c r="T18" s="311"/>
      <c r="U18" s="311"/>
      <c r="V18" s="311">
        <v>1.0</v>
      </c>
      <c r="W18" s="311">
        <v>1.0</v>
      </c>
      <c r="X18" s="313"/>
      <c r="Y18" s="311"/>
      <c r="Z18" s="311"/>
      <c r="AA18" s="311"/>
      <c r="AB18" s="311"/>
      <c r="AC18" s="311"/>
      <c r="AD18" s="313"/>
    </row>
    <row r="19" ht="12.75" customHeight="1">
      <c r="A19" s="292" t="s">
        <v>76</v>
      </c>
      <c r="B19" s="314">
        <f t="shared" ref="B19:B34" si="3">COUNTA(D19:X19)</f>
        <v>1</v>
      </c>
      <c r="C19" s="298" t="str">
        <f>IFERROR(__xludf.DUMMYFUNCTION("TEXTJOIN("", "", 1, FILTER($D$2:$AD$2, D19:AD19=1))"),"УК-13")</f>
        <v>УК-13</v>
      </c>
      <c r="D19" s="306"/>
      <c r="E19" s="306"/>
      <c r="F19" s="295"/>
      <c r="G19" s="295"/>
      <c r="H19" s="306"/>
      <c r="I19" s="306"/>
      <c r="J19" s="295"/>
      <c r="K19" s="295"/>
      <c r="L19" s="295"/>
      <c r="M19" s="295"/>
      <c r="N19" s="295"/>
      <c r="O19" s="295"/>
      <c r="P19" s="295">
        <v>1.0</v>
      </c>
      <c r="Q19" s="295"/>
      <c r="R19" s="295"/>
      <c r="S19" s="296"/>
      <c r="T19" s="295"/>
      <c r="U19" s="295"/>
      <c r="V19" s="295"/>
      <c r="W19" s="295"/>
      <c r="X19" s="294"/>
      <c r="Y19" s="295"/>
      <c r="Z19" s="295"/>
      <c r="AA19" s="295"/>
      <c r="AB19" s="295"/>
      <c r="AC19" s="295"/>
      <c r="AD19" s="294"/>
    </row>
    <row r="20" ht="12.75" customHeight="1">
      <c r="A20" s="292" t="s">
        <v>239</v>
      </c>
      <c r="B20" s="298">
        <f t="shared" si="3"/>
        <v>1</v>
      </c>
      <c r="C20" s="298" t="str">
        <f>IFERROR(__xludf.DUMMYFUNCTION("TEXTJOIN("", "", 1, FILTER($D$2:$AD$2, D20:AD20=1))"),"УК-13")</f>
        <v>УК-13</v>
      </c>
      <c r="D20" s="306"/>
      <c r="E20" s="306"/>
      <c r="F20" s="295"/>
      <c r="G20" s="306"/>
      <c r="H20" s="295"/>
      <c r="I20" s="306"/>
      <c r="J20" s="306"/>
      <c r="K20" s="306"/>
      <c r="L20" s="306"/>
      <c r="M20" s="306"/>
      <c r="N20" s="306"/>
      <c r="O20" s="306"/>
      <c r="P20" s="306">
        <v>1.0</v>
      </c>
      <c r="Q20" s="306"/>
      <c r="R20" s="295"/>
      <c r="S20" s="296"/>
      <c r="T20" s="295"/>
      <c r="U20" s="295"/>
      <c r="V20" s="295"/>
      <c r="W20" s="295"/>
      <c r="X20" s="304"/>
      <c r="Y20" s="295"/>
      <c r="Z20" s="295"/>
      <c r="AA20" s="295"/>
      <c r="AB20" s="295"/>
      <c r="AC20" s="295"/>
      <c r="AD20" s="294"/>
    </row>
    <row r="21" ht="12.75" customHeight="1">
      <c r="A21" s="292" t="s">
        <v>90</v>
      </c>
      <c r="B21" s="298">
        <f t="shared" si="3"/>
        <v>1</v>
      </c>
      <c r="C21" s="298" t="str">
        <f>IFERROR(__xludf.DUMMYFUNCTION("TEXTJOIN("", "", 1, FILTER($D$2:$AD$2, D21:AD21=1))"),"УК-12")</f>
        <v>УК-12</v>
      </c>
      <c r="D21" s="306"/>
      <c r="E21" s="306"/>
      <c r="F21" s="295"/>
      <c r="G21" s="306"/>
      <c r="H21" s="295"/>
      <c r="I21" s="306"/>
      <c r="J21" s="306"/>
      <c r="K21" s="306"/>
      <c r="L21" s="306"/>
      <c r="M21" s="306"/>
      <c r="N21" s="306"/>
      <c r="O21" s="306">
        <v>1.0</v>
      </c>
      <c r="P21" s="306"/>
      <c r="Q21" s="306"/>
      <c r="R21" s="295"/>
      <c r="S21" s="296"/>
      <c r="T21" s="295"/>
      <c r="U21" s="295"/>
      <c r="V21" s="295"/>
      <c r="W21" s="295"/>
      <c r="X21" s="294"/>
      <c r="Y21" s="295"/>
      <c r="Z21" s="295"/>
      <c r="AA21" s="295"/>
      <c r="AB21" s="295"/>
      <c r="AC21" s="295"/>
      <c r="AD21" s="294"/>
    </row>
    <row r="22" ht="12.75" customHeight="1">
      <c r="A22" s="315" t="s">
        <v>91</v>
      </c>
      <c r="B22" s="298">
        <f t="shared" si="3"/>
        <v>1</v>
      </c>
      <c r="C22" s="298" t="str">
        <f>IFERROR(__xludf.DUMMYFUNCTION("TEXTJOIN("", "", 1, FILTER($D$2:$AD$2, D22:AD22=1))"),"УК-4")</f>
        <v>УК-4</v>
      </c>
      <c r="D22" s="306"/>
      <c r="E22" s="295"/>
      <c r="F22" s="306"/>
      <c r="G22" s="295">
        <v>1.0</v>
      </c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6"/>
      <c r="T22" s="295"/>
      <c r="U22" s="295"/>
      <c r="V22" s="295"/>
      <c r="W22" s="306"/>
      <c r="X22" s="294"/>
      <c r="Y22" s="295"/>
      <c r="Z22" s="295"/>
      <c r="AA22" s="295"/>
      <c r="AB22" s="295"/>
      <c r="AC22" s="295"/>
      <c r="AD22" s="294"/>
    </row>
    <row r="23" ht="12.75" customHeight="1">
      <c r="A23" s="292" t="s">
        <v>92</v>
      </c>
      <c r="B23" s="298">
        <f t="shared" si="3"/>
        <v>2</v>
      </c>
      <c r="C23" s="298" t="str">
        <f>IFERROR(__xludf.DUMMYFUNCTION("TEXTJOIN("", "", 1, FILTER($D$2:$AD$2, D23:AD23=1))"),"УК-13, ПКН-1")</f>
        <v>УК-13, ПКН-1</v>
      </c>
      <c r="D23" s="295"/>
      <c r="E23" s="306"/>
      <c r="F23" s="295"/>
      <c r="G23" s="306"/>
      <c r="H23" s="306"/>
      <c r="I23" s="295"/>
      <c r="J23" s="295"/>
      <c r="K23" s="295"/>
      <c r="L23" s="295"/>
      <c r="M23" s="295"/>
      <c r="N23" s="295"/>
      <c r="O23" s="295"/>
      <c r="P23" s="295">
        <v>1.0</v>
      </c>
      <c r="Q23" s="295"/>
      <c r="R23" s="295"/>
      <c r="S23" s="296">
        <v>1.0</v>
      </c>
      <c r="T23" s="295"/>
      <c r="U23" s="295"/>
      <c r="V23" s="295"/>
      <c r="W23" s="295"/>
      <c r="X23" s="294"/>
      <c r="Y23" s="295"/>
      <c r="Z23" s="295"/>
      <c r="AA23" s="295"/>
      <c r="AB23" s="295"/>
      <c r="AC23" s="295"/>
      <c r="AD23" s="294"/>
    </row>
    <row r="24" ht="12.75" customHeight="1">
      <c r="A24" s="292" t="s">
        <v>109</v>
      </c>
      <c r="B24" s="298">
        <f t="shared" si="3"/>
        <v>1</v>
      </c>
      <c r="C24" s="298" t="str">
        <f>IFERROR(__xludf.DUMMYFUNCTION("TEXTJOIN("", "", 1, FILTER($D$2:$AD$2, D24:AD24=1))"),"ПКН-2")</f>
        <v>ПКН-2</v>
      </c>
      <c r="D24" s="278"/>
      <c r="E24" s="295"/>
      <c r="F24" s="278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6"/>
      <c r="T24" s="295">
        <v>1.0</v>
      </c>
      <c r="U24" s="295"/>
      <c r="V24" s="295"/>
      <c r="W24" s="295"/>
      <c r="X24" s="316"/>
      <c r="Y24" s="295"/>
      <c r="Z24" s="295"/>
      <c r="AA24" s="295"/>
      <c r="AB24" s="295"/>
      <c r="AC24" s="295"/>
      <c r="AD24" s="294"/>
    </row>
    <row r="25" ht="12.75" customHeight="1">
      <c r="A25" s="292" t="s">
        <v>104</v>
      </c>
      <c r="B25" s="307">
        <f t="shared" si="3"/>
        <v>1</v>
      </c>
      <c r="C25" s="298" t="str">
        <f>IFERROR(__xludf.DUMMYFUNCTION("TEXTJOIN("", "", 1, FILTER($D$2:$AD$2, D25:AD25=1))"),"ПКН-2")</f>
        <v>ПКН-2</v>
      </c>
      <c r="D25" s="317"/>
      <c r="E25" s="317"/>
      <c r="F25" s="318"/>
      <c r="G25" s="318"/>
      <c r="H25" s="318"/>
      <c r="I25" s="317"/>
      <c r="J25" s="318"/>
      <c r="K25" s="318"/>
      <c r="L25" s="318"/>
      <c r="M25" s="318"/>
      <c r="N25" s="318"/>
      <c r="O25" s="318"/>
      <c r="P25" s="318"/>
      <c r="Q25" s="318"/>
      <c r="R25" s="318"/>
      <c r="S25" s="296"/>
      <c r="T25" s="295">
        <v>1.0</v>
      </c>
      <c r="U25" s="295"/>
      <c r="V25" s="295"/>
      <c r="W25" s="295"/>
      <c r="X25" s="294"/>
      <c r="Y25" s="295"/>
      <c r="Z25" s="295"/>
      <c r="AA25" s="295"/>
      <c r="AB25" s="295"/>
      <c r="AC25" s="295"/>
      <c r="AD25" s="294"/>
    </row>
    <row r="26" ht="12.75" customHeight="1">
      <c r="A26" s="297" t="s">
        <v>115</v>
      </c>
      <c r="B26" s="298">
        <f t="shared" si="3"/>
        <v>1</v>
      </c>
      <c r="C26" s="298" t="str">
        <f>IFERROR(__xludf.DUMMYFUNCTION("TEXTJOIN("", "", 1, FILTER($D$2:$AD$2, D26:AD26=1))"),"ПКН-2")</f>
        <v>ПКН-2</v>
      </c>
      <c r="D26" s="299"/>
      <c r="E26" s="299"/>
      <c r="F26" s="299"/>
      <c r="G26" s="299"/>
      <c r="H26" s="299"/>
      <c r="I26" s="299"/>
      <c r="J26" s="299"/>
      <c r="K26" s="308"/>
      <c r="L26" s="299"/>
      <c r="M26" s="299"/>
      <c r="N26" s="299"/>
      <c r="O26" s="299"/>
      <c r="P26" s="299"/>
      <c r="Q26" s="299"/>
      <c r="R26" s="299"/>
      <c r="S26" s="300"/>
      <c r="T26" s="299">
        <v>1.0</v>
      </c>
      <c r="U26" s="308"/>
      <c r="V26" s="299"/>
      <c r="W26" s="299"/>
      <c r="X26" s="301"/>
      <c r="Y26" s="299"/>
      <c r="Z26" s="299"/>
      <c r="AA26" s="299"/>
      <c r="AB26" s="299"/>
      <c r="AC26" s="299"/>
      <c r="AD26" s="301"/>
    </row>
    <row r="27" ht="12.75" customHeight="1">
      <c r="A27" s="292" t="s">
        <v>117</v>
      </c>
      <c r="B27" s="298">
        <f t="shared" si="3"/>
        <v>1</v>
      </c>
      <c r="C27" s="298" t="str">
        <f>IFERROR(__xludf.DUMMYFUNCTION("TEXTJOIN("", "", 1, FILTER($D$2:$AD$2, D27:AD27=1))"),"ПКН-2")</f>
        <v>ПКН-2</v>
      </c>
      <c r="D27" s="295"/>
      <c r="E27" s="295"/>
      <c r="F27" s="295"/>
      <c r="G27" s="295"/>
      <c r="H27" s="295"/>
      <c r="I27" s="295"/>
      <c r="J27" s="295"/>
      <c r="K27" s="306"/>
      <c r="L27" s="295"/>
      <c r="M27" s="295"/>
      <c r="N27" s="295"/>
      <c r="O27" s="295"/>
      <c r="P27" s="295"/>
      <c r="Q27" s="295"/>
      <c r="R27" s="295"/>
      <c r="S27" s="296"/>
      <c r="T27" s="295">
        <v>1.0</v>
      </c>
      <c r="U27" s="306"/>
      <c r="V27" s="295"/>
      <c r="W27" s="295"/>
      <c r="X27" s="294"/>
      <c r="Y27" s="295"/>
      <c r="Z27" s="295"/>
      <c r="AA27" s="295"/>
      <c r="AB27" s="295"/>
      <c r="AC27" s="295"/>
      <c r="AD27" s="294"/>
    </row>
    <row r="28" ht="12.75" customHeight="1">
      <c r="A28" s="292" t="s">
        <v>119</v>
      </c>
      <c r="B28" s="298">
        <f t="shared" si="3"/>
        <v>1</v>
      </c>
      <c r="C28" s="298" t="str">
        <f>IFERROR(__xludf.DUMMYFUNCTION("TEXTJOIN("", "", 1, FILTER($D$2:$AD$2, D28:AD28=1))"),"ПКН-1")</f>
        <v>ПКН-1</v>
      </c>
      <c r="D28" s="295"/>
      <c r="E28" s="295"/>
      <c r="F28" s="295"/>
      <c r="G28" s="295"/>
      <c r="H28" s="295"/>
      <c r="I28" s="295"/>
      <c r="J28" s="295"/>
      <c r="K28" s="306"/>
      <c r="L28" s="295"/>
      <c r="M28" s="295"/>
      <c r="N28" s="295"/>
      <c r="O28" s="295"/>
      <c r="P28" s="295"/>
      <c r="Q28" s="295"/>
      <c r="R28" s="295"/>
      <c r="S28" s="296">
        <v>1.0</v>
      </c>
      <c r="T28" s="295"/>
      <c r="U28" s="306"/>
      <c r="V28" s="295"/>
      <c r="W28" s="295"/>
      <c r="X28" s="294"/>
      <c r="Y28" s="295"/>
      <c r="Z28" s="295"/>
      <c r="AA28" s="295"/>
      <c r="AB28" s="295"/>
      <c r="AC28" s="295"/>
      <c r="AD28" s="294"/>
    </row>
    <row r="29" ht="12.75" customHeight="1">
      <c r="A29" s="292" t="s">
        <v>121</v>
      </c>
      <c r="B29" s="298">
        <f t="shared" si="3"/>
        <v>1</v>
      </c>
      <c r="C29" s="298" t="str">
        <f>IFERROR(__xludf.DUMMYFUNCTION("TEXTJOIN("", "", 1, FILTER($D$2:$AD$2, D29:AD29=1))"),"ПКН-1")</f>
        <v>ПКН-1</v>
      </c>
      <c r="D29" s="295"/>
      <c r="E29" s="295"/>
      <c r="F29" s="295"/>
      <c r="G29" s="295"/>
      <c r="H29" s="295"/>
      <c r="I29" s="295"/>
      <c r="J29" s="295"/>
      <c r="K29" s="306"/>
      <c r="L29" s="295"/>
      <c r="M29" s="295"/>
      <c r="N29" s="295"/>
      <c r="O29" s="295"/>
      <c r="P29" s="295"/>
      <c r="Q29" s="295"/>
      <c r="R29" s="295"/>
      <c r="S29" s="296">
        <v>1.0</v>
      </c>
      <c r="T29" s="295"/>
      <c r="U29" s="306"/>
      <c r="V29" s="295"/>
      <c r="W29" s="295"/>
      <c r="X29" s="294"/>
      <c r="Y29" s="295"/>
      <c r="Z29" s="295"/>
      <c r="AA29" s="295"/>
      <c r="AB29" s="295"/>
      <c r="AC29" s="295"/>
      <c r="AD29" s="294"/>
    </row>
    <row r="30" ht="12.75" customHeight="1">
      <c r="A30" s="292" t="s">
        <v>123</v>
      </c>
      <c r="B30" s="298">
        <f t="shared" si="3"/>
        <v>1</v>
      </c>
      <c r="C30" s="298" t="str">
        <f>IFERROR(__xludf.DUMMYFUNCTION("TEXTJOIN("", "", 1, FILTER($D$2:$AD$2, D30:AD30=1))"),"ПКН-1")</f>
        <v>ПКН-1</v>
      </c>
      <c r="D30" s="306"/>
      <c r="E30" s="306"/>
      <c r="F30" s="306"/>
      <c r="G30" s="306"/>
      <c r="H30" s="306"/>
      <c r="I30" s="306"/>
      <c r="J30" s="306"/>
      <c r="K30" s="295"/>
      <c r="L30" s="295"/>
      <c r="M30" s="295"/>
      <c r="N30" s="295"/>
      <c r="O30" s="295"/>
      <c r="P30" s="295"/>
      <c r="Q30" s="295"/>
      <c r="R30" s="295"/>
      <c r="S30" s="319">
        <v>1.0</v>
      </c>
      <c r="T30" s="295"/>
      <c r="U30" s="306"/>
      <c r="V30" s="295"/>
      <c r="W30" s="295"/>
      <c r="X30" s="294"/>
      <c r="Y30" s="295"/>
      <c r="Z30" s="295"/>
      <c r="AA30" s="295"/>
      <c r="AB30" s="295"/>
      <c r="AC30" s="295"/>
      <c r="AD30" s="294"/>
    </row>
    <row r="31" ht="12.75" customHeight="1">
      <c r="A31" s="303" t="s">
        <v>124</v>
      </c>
      <c r="B31" s="298">
        <f t="shared" si="3"/>
        <v>1</v>
      </c>
      <c r="C31" s="298" t="str">
        <f>IFERROR(__xludf.DUMMYFUNCTION("TEXTJOIN("", "", 1, FILTER($D$2:$AD$2, D31:AD31=1))"),"ПКН-2")</f>
        <v>ПКН-2</v>
      </c>
      <c r="D31" s="306"/>
      <c r="E31" s="306"/>
      <c r="F31" s="306"/>
      <c r="G31" s="306"/>
      <c r="H31" s="306"/>
      <c r="I31" s="306"/>
      <c r="J31" s="306"/>
      <c r="K31" s="295"/>
      <c r="L31" s="295"/>
      <c r="M31" s="295"/>
      <c r="N31" s="295"/>
      <c r="O31" s="295"/>
      <c r="P31" s="295"/>
      <c r="Q31" s="295"/>
      <c r="R31" s="295"/>
      <c r="S31" s="319"/>
      <c r="T31" s="320">
        <v>1.0</v>
      </c>
      <c r="U31" s="306"/>
      <c r="V31" s="295"/>
      <c r="W31" s="295"/>
      <c r="X31" s="294"/>
      <c r="Y31" s="295"/>
      <c r="Z31" s="295"/>
      <c r="AA31" s="295"/>
      <c r="AB31" s="295"/>
      <c r="AC31" s="295"/>
      <c r="AD31" s="294"/>
    </row>
    <row r="32" ht="12.75" customHeight="1">
      <c r="A32" s="292" t="s">
        <v>125</v>
      </c>
      <c r="B32" s="298">
        <f t="shared" si="3"/>
        <v>1</v>
      </c>
      <c r="C32" s="298" t="str">
        <f>IFERROR(__xludf.DUMMYFUNCTION("TEXTJOIN("", "", 1, FILTER($D$2:$AD$2, D32:AD32=1))"),"ПКН-1")</f>
        <v>ПКН-1</v>
      </c>
      <c r="D32" s="306"/>
      <c r="E32" s="306"/>
      <c r="F32" s="306"/>
      <c r="G32" s="306"/>
      <c r="H32" s="306"/>
      <c r="I32" s="306"/>
      <c r="J32" s="306"/>
      <c r="K32" s="295"/>
      <c r="L32" s="295"/>
      <c r="M32" s="295"/>
      <c r="N32" s="295"/>
      <c r="O32" s="295"/>
      <c r="P32" s="295"/>
      <c r="Q32" s="295"/>
      <c r="R32" s="295"/>
      <c r="S32" s="319">
        <v>1.0</v>
      </c>
      <c r="T32" s="295"/>
      <c r="U32" s="306"/>
      <c r="V32" s="295"/>
      <c r="W32" s="295"/>
      <c r="X32" s="294"/>
      <c r="Y32" s="295"/>
      <c r="Z32" s="295"/>
      <c r="AA32" s="295"/>
      <c r="AB32" s="295"/>
      <c r="AC32" s="295"/>
      <c r="AD32" s="294"/>
    </row>
    <row r="33" ht="12.75" customHeight="1">
      <c r="A33" s="292" t="s">
        <v>126</v>
      </c>
      <c r="B33" s="298">
        <f t="shared" si="3"/>
        <v>1</v>
      </c>
      <c r="C33" s="298" t="str">
        <f>IFERROR(__xludf.DUMMYFUNCTION("TEXTJOIN("", "", 1, FILTER($D$2:$AD$2, D33:AD33=1))"),"ПКН-6")</f>
        <v>ПКН-6</v>
      </c>
      <c r="D33" s="306"/>
      <c r="E33" s="306"/>
      <c r="F33" s="306"/>
      <c r="G33" s="306"/>
      <c r="H33" s="306"/>
      <c r="I33" s="306"/>
      <c r="J33" s="306"/>
      <c r="K33" s="295"/>
      <c r="L33" s="295"/>
      <c r="M33" s="295"/>
      <c r="N33" s="295"/>
      <c r="O33" s="295"/>
      <c r="P33" s="295"/>
      <c r="Q33" s="295"/>
      <c r="R33" s="295"/>
      <c r="S33" s="319"/>
      <c r="T33" s="295"/>
      <c r="U33" s="306"/>
      <c r="V33" s="295"/>
      <c r="W33" s="295"/>
      <c r="X33" s="294">
        <v>1.0</v>
      </c>
      <c r="Y33" s="295"/>
      <c r="Z33" s="295"/>
      <c r="AA33" s="295"/>
      <c r="AB33" s="295"/>
      <c r="AC33" s="295"/>
      <c r="AD33" s="294"/>
    </row>
    <row r="34" ht="12.75" customHeight="1">
      <c r="A34" s="321" t="s">
        <v>128</v>
      </c>
      <c r="B34" s="298">
        <f t="shared" si="3"/>
        <v>1</v>
      </c>
      <c r="C34" s="298" t="str">
        <f>IFERROR(__xludf.DUMMYFUNCTION("TEXTJOIN("", "", 1, FILTER($D$2:$AD$2, D34:AD34=1))"),"ПКН-4")</f>
        <v>ПКН-4</v>
      </c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0"/>
      <c r="P34" s="310"/>
      <c r="Q34" s="311"/>
      <c r="R34" s="310"/>
      <c r="S34" s="312"/>
      <c r="T34" s="311"/>
      <c r="U34" s="310"/>
      <c r="V34" s="311">
        <v>1.0</v>
      </c>
      <c r="W34" s="311"/>
      <c r="X34" s="313"/>
      <c r="Y34" s="311"/>
      <c r="Z34" s="311"/>
      <c r="AA34" s="311"/>
      <c r="AB34" s="311"/>
      <c r="AC34" s="311"/>
      <c r="AD34" s="313"/>
    </row>
    <row r="35" ht="12.75" customHeight="1">
      <c r="A35" s="322" t="s">
        <v>133</v>
      </c>
      <c r="B35" s="314">
        <f t="shared" ref="B35:B62" si="4">COUNTA(Y35:AD35)</f>
        <v>2</v>
      </c>
      <c r="C35" s="298" t="str">
        <f>IFERROR(__xludf.DUMMYFUNCTION("TEXTJOIN("", "", 1, FILTER($D$2:$AD$2, D35:AD35=1))"),"ПКП-1, ПКП-5")</f>
        <v>ПКП-1, ПКП-5</v>
      </c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319"/>
      <c r="T35" s="295"/>
      <c r="U35" s="306"/>
      <c r="V35" s="295"/>
      <c r="W35" s="295"/>
      <c r="X35" s="294"/>
      <c r="Y35" s="295">
        <v>1.0</v>
      </c>
      <c r="Z35" s="295"/>
      <c r="AA35" s="295"/>
      <c r="AB35" s="295"/>
      <c r="AC35" s="295">
        <v>1.0</v>
      </c>
      <c r="AD35" s="294"/>
    </row>
    <row r="36" ht="12.75" customHeight="1">
      <c r="A36" s="322" t="s">
        <v>135</v>
      </c>
      <c r="B36" s="314">
        <f t="shared" si="4"/>
        <v>2</v>
      </c>
      <c r="C36" s="298" t="str">
        <f>IFERROR(__xludf.DUMMYFUNCTION("TEXTJOIN("", "", 1, FILTER($D$2:$AD$2, D36:AD36=1))"),"ПКП-1, ПКП-5")</f>
        <v>ПКП-1, ПКП-5</v>
      </c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306"/>
      <c r="P36" s="306"/>
      <c r="Q36" s="295"/>
      <c r="R36" s="306"/>
      <c r="S36" s="296"/>
      <c r="T36" s="295"/>
      <c r="U36" s="306"/>
      <c r="V36" s="295"/>
      <c r="W36" s="295"/>
      <c r="X36" s="294"/>
      <c r="Y36" s="295">
        <v>1.0</v>
      </c>
      <c r="Z36" s="295"/>
      <c r="AA36" s="295"/>
      <c r="AB36" s="295"/>
      <c r="AC36" s="295">
        <v>1.0</v>
      </c>
      <c r="AD36" s="294"/>
    </row>
    <row r="37" ht="12.75" customHeight="1">
      <c r="A37" s="322" t="s">
        <v>137</v>
      </c>
      <c r="B37" s="314">
        <f t="shared" si="4"/>
        <v>1</v>
      </c>
      <c r="C37" s="298" t="str">
        <f>IFERROR(__xludf.DUMMYFUNCTION("TEXTJOIN("", "", 1, FILTER($D$2:$AD$2, D37:AD37=1))"),"ПКП-2")</f>
        <v>ПКП-2</v>
      </c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306"/>
      <c r="P37" s="306"/>
      <c r="Q37" s="295"/>
      <c r="R37" s="306"/>
      <c r="S37" s="296"/>
      <c r="T37" s="295"/>
      <c r="U37" s="306"/>
      <c r="V37" s="295"/>
      <c r="W37" s="295"/>
      <c r="X37" s="294"/>
      <c r="Y37" s="295"/>
      <c r="Z37" s="295">
        <v>1.0</v>
      </c>
      <c r="AA37" s="295"/>
      <c r="AB37" s="295"/>
      <c r="AC37" s="295"/>
      <c r="AD37" s="294"/>
    </row>
    <row r="38" ht="12.75" customHeight="1">
      <c r="A38" s="322" t="s">
        <v>139</v>
      </c>
      <c r="B38" s="314">
        <f t="shared" si="4"/>
        <v>1</v>
      </c>
      <c r="C38" s="298" t="str">
        <f>IFERROR(__xludf.DUMMYFUNCTION("TEXTJOIN("", "", 1, FILTER($D$2:$AD$2, D38:AD38=1))"),"ПКП-3")</f>
        <v>ПКП-3</v>
      </c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306"/>
      <c r="P38" s="306"/>
      <c r="Q38" s="295"/>
      <c r="R38" s="306"/>
      <c r="S38" s="296"/>
      <c r="T38" s="295"/>
      <c r="U38" s="306"/>
      <c r="V38" s="295"/>
      <c r="W38" s="295"/>
      <c r="X38" s="294"/>
      <c r="Y38" s="295"/>
      <c r="Z38" s="295"/>
      <c r="AA38" s="295">
        <v>1.0</v>
      </c>
      <c r="AB38" s="295"/>
      <c r="AC38" s="295"/>
      <c r="AD38" s="294"/>
    </row>
    <row r="39" ht="12.75" customHeight="1">
      <c r="A39" s="322" t="s">
        <v>141</v>
      </c>
      <c r="B39" s="314">
        <f t="shared" si="4"/>
        <v>2</v>
      </c>
      <c r="C39" s="298" t="str">
        <f>IFERROR(__xludf.DUMMYFUNCTION("TEXTJOIN("", "", 1, FILTER($D$2:$AD$2, D39:AD39=1))"),"ПКП-1, ПКП-6")</f>
        <v>ПКП-1, ПКП-6</v>
      </c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306"/>
      <c r="P39" s="306"/>
      <c r="Q39" s="295"/>
      <c r="R39" s="306"/>
      <c r="S39" s="296"/>
      <c r="T39" s="295"/>
      <c r="U39" s="306"/>
      <c r="V39" s="295"/>
      <c r="W39" s="295"/>
      <c r="X39" s="294"/>
      <c r="Y39" s="295">
        <v>1.0</v>
      </c>
      <c r="Z39" s="295"/>
      <c r="AA39" s="295"/>
      <c r="AB39" s="295"/>
      <c r="AC39" s="295"/>
      <c r="AD39" s="294">
        <v>1.0</v>
      </c>
    </row>
    <row r="40" ht="12.75" customHeight="1">
      <c r="A40" s="322" t="s">
        <v>143</v>
      </c>
      <c r="B40" s="314">
        <f t="shared" si="4"/>
        <v>1</v>
      </c>
      <c r="C40" s="298" t="str">
        <f>IFERROR(__xludf.DUMMYFUNCTION("TEXTJOIN("", "", 1, FILTER($D$2:$AD$2, D40:AD40=1))"),"ПКП-1")</f>
        <v>ПКП-1</v>
      </c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306"/>
      <c r="P40" s="306"/>
      <c r="Q40" s="295"/>
      <c r="R40" s="306"/>
      <c r="S40" s="296"/>
      <c r="T40" s="295"/>
      <c r="U40" s="306"/>
      <c r="V40" s="295"/>
      <c r="W40" s="295"/>
      <c r="X40" s="294"/>
      <c r="Y40" s="295">
        <v>1.0</v>
      </c>
      <c r="Z40" s="295"/>
      <c r="AA40" s="295"/>
      <c r="AB40" s="295"/>
      <c r="AC40" s="295"/>
      <c r="AD40" s="294"/>
    </row>
    <row r="41" ht="12.75" customHeight="1">
      <c r="A41" s="322" t="s">
        <v>145</v>
      </c>
      <c r="B41" s="314">
        <f t="shared" si="4"/>
        <v>1</v>
      </c>
      <c r="C41" s="298" t="str">
        <f>IFERROR(__xludf.DUMMYFUNCTION("TEXTJOIN("", "", 1, FILTER($D$2:$AD$2, D41:AD41=1))"),"ПКП-2")</f>
        <v>ПКП-2</v>
      </c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306"/>
      <c r="P41" s="306"/>
      <c r="Q41" s="295"/>
      <c r="R41" s="306"/>
      <c r="S41" s="296"/>
      <c r="T41" s="295"/>
      <c r="U41" s="306"/>
      <c r="V41" s="295"/>
      <c r="W41" s="295"/>
      <c r="X41" s="294"/>
      <c r="Y41" s="295"/>
      <c r="Z41" s="295">
        <v>1.0</v>
      </c>
      <c r="AA41" s="295"/>
      <c r="AB41" s="295"/>
      <c r="AC41" s="295"/>
      <c r="AD41" s="294"/>
    </row>
    <row r="42" ht="12.75" customHeight="1">
      <c r="A42" s="322" t="s">
        <v>146</v>
      </c>
      <c r="B42" s="314">
        <f t="shared" si="4"/>
        <v>1</v>
      </c>
      <c r="C42" s="298" t="str">
        <f>IFERROR(__xludf.DUMMYFUNCTION("TEXTJOIN("", "", 1, FILTER($D$2:$AD$2, D42:AD42=1))"),"ПКП-4")</f>
        <v>ПКП-4</v>
      </c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306"/>
      <c r="P42" s="306"/>
      <c r="Q42" s="295"/>
      <c r="R42" s="306"/>
      <c r="S42" s="296"/>
      <c r="T42" s="295"/>
      <c r="U42" s="306"/>
      <c r="V42" s="295"/>
      <c r="W42" s="295"/>
      <c r="X42" s="294"/>
      <c r="Y42" s="295"/>
      <c r="Z42" s="295"/>
      <c r="AA42" s="295"/>
      <c r="AB42" s="295">
        <v>1.0</v>
      </c>
      <c r="AC42" s="295"/>
      <c r="AD42" s="294"/>
    </row>
    <row r="43" ht="12.75" customHeight="1">
      <c r="A43" s="322" t="s">
        <v>147</v>
      </c>
      <c r="B43" s="314">
        <f t="shared" si="4"/>
        <v>1</v>
      </c>
      <c r="C43" s="298" t="str">
        <f>IFERROR(__xludf.DUMMYFUNCTION("TEXTJOIN("", "", 1, FILTER($D$2:$AD$2, D43:AD43=1))"),"ПКП-2")</f>
        <v>ПКП-2</v>
      </c>
      <c r="D43" s="295"/>
      <c r="E43" s="295"/>
      <c r="F43" s="295"/>
      <c r="G43" s="295"/>
      <c r="H43" s="295"/>
      <c r="I43" s="295"/>
      <c r="J43" s="295"/>
      <c r="K43" s="295"/>
      <c r="L43" s="295"/>
      <c r="M43" s="306"/>
      <c r="N43" s="295"/>
      <c r="O43" s="295"/>
      <c r="P43" s="295"/>
      <c r="Q43" s="295"/>
      <c r="R43" s="295"/>
      <c r="S43" s="319"/>
      <c r="T43" s="306"/>
      <c r="U43" s="295"/>
      <c r="V43" s="295"/>
      <c r="W43" s="295"/>
      <c r="X43" s="294"/>
      <c r="Y43" s="295"/>
      <c r="Z43" s="295">
        <v>1.0</v>
      </c>
      <c r="AA43" s="295"/>
      <c r="AB43" s="295"/>
      <c r="AC43" s="295"/>
      <c r="AD43" s="294"/>
    </row>
    <row r="44" ht="12.75" customHeight="1">
      <c r="A44" s="322" t="s">
        <v>149</v>
      </c>
      <c r="B44" s="314">
        <f t="shared" si="4"/>
        <v>2</v>
      </c>
      <c r="C44" s="298" t="str">
        <f>IFERROR(__xludf.DUMMYFUNCTION("TEXTJOIN("", "", 1, FILTER($D$2:$AD$2, D44:AD44=1))"),"ПКП-1, ПКП-3")</f>
        <v>ПКП-1, ПКП-3</v>
      </c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306"/>
      <c r="S44" s="296"/>
      <c r="T44" s="295"/>
      <c r="U44" s="306"/>
      <c r="V44" s="295"/>
      <c r="W44" s="295"/>
      <c r="X44" s="294"/>
      <c r="Y44" s="295">
        <v>1.0</v>
      </c>
      <c r="Z44" s="295"/>
      <c r="AA44" s="295">
        <v>1.0</v>
      </c>
      <c r="AB44" s="295"/>
      <c r="AC44" s="295"/>
      <c r="AD44" s="294"/>
    </row>
    <row r="45" ht="12.75" customHeight="1">
      <c r="A45" s="323" t="s">
        <v>153</v>
      </c>
      <c r="B45" s="314">
        <f t="shared" si="4"/>
        <v>1</v>
      </c>
      <c r="C45" s="298" t="str">
        <f>IFERROR(__xludf.DUMMYFUNCTION("TEXTJOIN("", "", 1, FILTER($D$2:$AD$2, D45:AD45=1))"),"ПКП-6")</f>
        <v>ПКП-6</v>
      </c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308"/>
      <c r="R45" s="308"/>
      <c r="S45" s="300"/>
      <c r="T45" s="299"/>
      <c r="U45" s="299"/>
      <c r="V45" s="299"/>
      <c r="W45" s="299"/>
      <c r="X45" s="301"/>
      <c r="Y45" s="299"/>
      <c r="Z45" s="308"/>
      <c r="AA45" s="299"/>
      <c r="AB45" s="299"/>
      <c r="AC45" s="299"/>
      <c r="AD45" s="301">
        <v>1.0</v>
      </c>
    </row>
    <row r="46" ht="12.75" customHeight="1">
      <c r="A46" s="322" t="s">
        <v>155</v>
      </c>
      <c r="B46" s="314">
        <f t="shared" si="4"/>
        <v>1</v>
      </c>
      <c r="C46" s="298" t="str">
        <f>IFERROR(__xludf.DUMMYFUNCTION("TEXTJOIN("", "", 1, FILTER($D$2:$AD$2, D46:AD46=1))"),"ПКП-6")</f>
        <v>ПКП-6</v>
      </c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6"/>
      <c r="T46" s="295"/>
      <c r="U46" s="295"/>
      <c r="V46" s="295"/>
      <c r="W46" s="295"/>
      <c r="X46" s="294"/>
      <c r="Y46" s="295"/>
      <c r="Z46" s="295"/>
      <c r="AA46" s="295"/>
      <c r="AB46" s="295"/>
      <c r="AC46" s="295"/>
      <c r="AD46" s="294">
        <v>1.0</v>
      </c>
    </row>
    <row r="47" ht="12.75" customHeight="1">
      <c r="A47" s="321" t="s">
        <v>157</v>
      </c>
      <c r="B47" s="314">
        <f t="shared" si="4"/>
        <v>1</v>
      </c>
      <c r="C47" s="298" t="str">
        <f>IFERROR(__xludf.DUMMYFUNCTION("TEXTJOIN("", "", 1, FILTER($D$2:$AD$2, D47:AD47=1))"),"ПКП-6")</f>
        <v>ПКП-6</v>
      </c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2"/>
      <c r="T47" s="311"/>
      <c r="U47" s="311"/>
      <c r="V47" s="311"/>
      <c r="W47" s="311"/>
      <c r="X47" s="313"/>
      <c r="Y47" s="311"/>
      <c r="Z47" s="311"/>
      <c r="AA47" s="311"/>
      <c r="AB47" s="311"/>
      <c r="AC47" s="311"/>
      <c r="AD47" s="313">
        <v>1.0</v>
      </c>
    </row>
    <row r="48" ht="12.75" customHeight="1">
      <c r="A48" s="322" t="s">
        <v>159</v>
      </c>
      <c r="B48" s="314">
        <f t="shared" si="4"/>
        <v>1</v>
      </c>
      <c r="C48" s="298" t="str">
        <f>IFERROR(__xludf.DUMMYFUNCTION("TEXTJOIN("", "", 1, FILTER($D$2:$AD$2, D48:AD48=1))"),"ПКП-6")</f>
        <v>ПКП-6</v>
      </c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6"/>
      <c r="T48" s="295"/>
      <c r="U48" s="295"/>
      <c r="V48" s="295"/>
      <c r="W48" s="295"/>
      <c r="X48" s="316"/>
      <c r="Y48" s="295"/>
      <c r="Z48" s="295"/>
      <c r="AA48" s="295"/>
      <c r="AB48" s="295"/>
      <c r="AC48" s="295"/>
      <c r="AD48" s="294">
        <v>1.0</v>
      </c>
    </row>
    <row r="49" ht="12.75" customHeight="1">
      <c r="A49" s="322" t="s">
        <v>160</v>
      </c>
      <c r="B49" s="314">
        <f t="shared" si="4"/>
        <v>1</v>
      </c>
      <c r="C49" s="298" t="str">
        <f>IFERROR(__xludf.DUMMYFUNCTION("TEXTJOIN("", "", 1, FILTER($D$2:$AD$2, D49:AD49=1))"),"ПКП-6")</f>
        <v>ПКП-6</v>
      </c>
      <c r="D49" s="305"/>
      <c r="E49" s="305"/>
      <c r="F49" s="305"/>
      <c r="G49" s="305"/>
      <c r="H49" s="305"/>
      <c r="I49" s="305"/>
      <c r="J49" s="305"/>
      <c r="K49" s="295"/>
      <c r="L49" s="295"/>
      <c r="M49" s="295"/>
      <c r="N49" s="295"/>
      <c r="O49" s="305"/>
      <c r="P49" s="305"/>
      <c r="Q49" s="295"/>
      <c r="R49" s="295"/>
      <c r="S49" s="296"/>
      <c r="T49" s="295"/>
      <c r="U49" s="295"/>
      <c r="V49" s="295"/>
      <c r="W49" s="295"/>
      <c r="X49" s="294"/>
      <c r="Y49" s="295"/>
      <c r="Z49" s="295"/>
      <c r="AA49" s="295"/>
      <c r="AB49" s="295"/>
      <c r="AC49" s="295"/>
      <c r="AD49" s="294">
        <v>1.0</v>
      </c>
    </row>
    <row r="50" ht="12.75" customHeight="1">
      <c r="A50" s="322" t="s">
        <v>161</v>
      </c>
      <c r="B50" s="314">
        <f t="shared" si="4"/>
        <v>1</v>
      </c>
      <c r="C50" s="298" t="str">
        <f>IFERROR(__xludf.DUMMYFUNCTION("TEXTJOIN("", "", 1, FILTER($D$2:$AD$2, D50:AD50=1))"),"ПКП-6")</f>
        <v>ПКП-6</v>
      </c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6"/>
      <c r="T50" s="295"/>
      <c r="U50" s="295"/>
      <c r="V50" s="295"/>
      <c r="W50" s="295"/>
      <c r="X50" s="294"/>
      <c r="Y50" s="295"/>
      <c r="Z50" s="295"/>
      <c r="AA50" s="295"/>
      <c r="AB50" s="295"/>
      <c r="AC50" s="295"/>
      <c r="AD50" s="294">
        <v>1.0</v>
      </c>
    </row>
    <row r="51" ht="12.75" customHeight="1">
      <c r="A51" s="323" t="s">
        <v>163</v>
      </c>
      <c r="B51" s="314">
        <f t="shared" si="4"/>
        <v>1</v>
      </c>
      <c r="C51" s="298" t="str">
        <f>IFERROR(__xludf.DUMMYFUNCTION("TEXTJOIN("", "", 1, FILTER($D$2:$AD$2, D51:AD51=1))"),"ПКП-6")</f>
        <v>ПКП-6</v>
      </c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300"/>
      <c r="T51" s="299"/>
      <c r="U51" s="299"/>
      <c r="V51" s="299"/>
      <c r="W51" s="299"/>
      <c r="X51" s="301"/>
      <c r="Y51" s="299"/>
      <c r="Z51" s="299"/>
      <c r="AA51" s="299"/>
      <c r="AB51" s="299"/>
      <c r="AC51" s="299"/>
      <c r="AD51" s="301">
        <v>1.0</v>
      </c>
    </row>
    <row r="52" ht="12.75" customHeight="1">
      <c r="A52" s="322" t="s">
        <v>164</v>
      </c>
      <c r="B52" s="314">
        <f t="shared" si="4"/>
        <v>1</v>
      </c>
      <c r="C52" s="298" t="str">
        <f>IFERROR(__xludf.DUMMYFUNCTION("TEXTJOIN("", "", 1, FILTER($D$2:$AD$2, D52:AD52=1))"),"ПКП-6")</f>
        <v>ПКП-6</v>
      </c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6"/>
      <c r="T52" s="295"/>
      <c r="U52" s="295"/>
      <c r="V52" s="295"/>
      <c r="W52" s="295"/>
      <c r="X52" s="294"/>
      <c r="Y52" s="295"/>
      <c r="Z52" s="295"/>
      <c r="AA52" s="295"/>
      <c r="AB52" s="295"/>
      <c r="AC52" s="295"/>
      <c r="AD52" s="294">
        <v>1.0</v>
      </c>
    </row>
    <row r="53" ht="12.75" customHeight="1">
      <c r="A53" s="321" t="s">
        <v>165</v>
      </c>
      <c r="B53" s="314">
        <f t="shared" si="4"/>
        <v>1</v>
      </c>
      <c r="C53" s="298" t="str">
        <f>IFERROR(__xludf.DUMMYFUNCTION("TEXTJOIN("", "", 1, FILTER($D$2:$AD$2, D53:AD53=1))"),"ПКП-6")</f>
        <v>ПКП-6</v>
      </c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2"/>
      <c r="T53" s="311"/>
      <c r="U53" s="311"/>
      <c r="V53" s="311"/>
      <c r="W53" s="311"/>
      <c r="X53" s="313"/>
      <c r="Y53" s="311"/>
      <c r="Z53" s="311"/>
      <c r="AA53" s="311"/>
      <c r="AB53" s="311"/>
      <c r="AC53" s="311"/>
      <c r="AD53" s="313">
        <v>1.0</v>
      </c>
    </row>
    <row r="54" ht="12.75" customHeight="1">
      <c r="A54" s="322" t="s">
        <v>167</v>
      </c>
      <c r="B54" s="314">
        <f t="shared" si="4"/>
        <v>1</v>
      </c>
      <c r="C54" s="298" t="str">
        <f>IFERROR(__xludf.DUMMYFUNCTION("TEXTJOIN("", "", 1, FILTER($D$2:$AD$2, D54:AD54=1))"),"ПКП-6")</f>
        <v>ПКП-6</v>
      </c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6"/>
      <c r="T54" s="295"/>
      <c r="U54" s="295"/>
      <c r="V54" s="295"/>
      <c r="W54" s="295"/>
      <c r="X54" s="294"/>
      <c r="Y54" s="295"/>
      <c r="Z54" s="295"/>
      <c r="AA54" s="295"/>
      <c r="AB54" s="295"/>
      <c r="AC54" s="295"/>
      <c r="AD54" s="294">
        <v>1.0</v>
      </c>
    </row>
    <row r="55" ht="12.75" customHeight="1">
      <c r="A55" s="322" t="s">
        <v>168</v>
      </c>
      <c r="B55" s="298">
        <f t="shared" si="4"/>
        <v>1</v>
      </c>
      <c r="C55" s="298" t="str">
        <f>IFERROR(__xludf.DUMMYFUNCTION("TEXTJOIN("", "", 1, FILTER($D$2:$AD$2, D55:AD55=1))"),"ПКП-6")</f>
        <v>ПКП-6</v>
      </c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6"/>
      <c r="T55" s="295"/>
      <c r="U55" s="295"/>
      <c r="V55" s="295"/>
      <c r="W55" s="295"/>
      <c r="X55" s="294"/>
      <c r="Y55" s="295"/>
      <c r="Z55" s="295"/>
      <c r="AA55" s="295"/>
      <c r="AB55" s="295"/>
      <c r="AC55" s="295"/>
      <c r="AD55" s="294">
        <v>1.0</v>
      </c>
    </row>
    <row r="56" ht="12.75" customHeight="1">
      <c r="A56" s="322" t="s">
        <v>169</v>
      </c>
      <c r="B56" s="307">
        <f t="shared" si="4"/>
        <v>1</v>
      </c>
      <c r="C56" s="298" t="str">
        <f>IFERROR(__xludf.DUMMYFUNCTION("TEXTJOIN("", "", 1, FILTER($D$2:$AD$2, D56:AD56=1))"),"ПКП-6")</f>
        <v>ПКП-6</v>
      </c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6"/>
      <c r="T56" s="295"/>
      <c r="U56" s="295"/>
      <c r="V56" s="295"/>
      <c r="W56" s="295"/>
      <c r="X56" s="294"/>
      <c r="Y56" s="295"/>
      <c r="Z56" s="295"/>
      <c r="AA56" s="295"/>
      <c r="AB56" s="295"/>
      <c r="AC56" s="295"/>
      <c r="AD56" s="294">
        <v>1.0</v>
      </c>
    </row>
    <row r="57" ht="12.75" customHeight="1">
      <c r="A57" s="323" t="s">
        <v>171</v>
      </c>
      <c r="B57" s="298">
        <f t="shared" si="4"/>
        <v>1</v>
      </c>
      <c r="C57" s="298" t="str">
        <f>IFERROR(__xludf.DUMMYFUNCTION("TEXTJOIN("", "", 1, FILTER($D$2:$AD$2, D57:AD57=1))"),"ПКП-6")</f>
        <v>ПКП-6</v>
      </c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300"/>
      <c r="T57" s="299"/>
      <c r="U57" s="299"/>
      <c r="V57" s="299"/>
      <c r="W57" s="299"/>
      <c r="X57" s="301"/>
      <c r="Y57" s="299"/>
      <c r="Z57" s="299"/>
      <c r="AA57" s="299"/>
      <c r="AB57" s="299"/>
      <c r="AC57" s="299"/>
      <c r="AD57" s="301">
        <v>1.0</v>
      </c>
    </row>
    <row r="58" ht="12.75" customHeight="1">
      <c r="A58" s="322" t="s">
        <v>172</v>
      </c>
      <c r="B58" s="298">
        <f t="shared" si="4"/>
        <v>1</v>
      </c>
      <c r="C58" s="298" t="str">
        <f>IFERROR(__xludf.DUMMYFUNCTION("TEXTJOIN("", "", 1, FILTER($D$2:$AD$2, D58:AD58=1))"),"ПКП-6")</f>
        <v>ПКП-6</v>
      </c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6"/>
      <c r="T58" s="295"/>
      <c r="U58" s="295"/>
      <c r="V58" s="295"/>
      <c r="W58" s="295"/>
      <c r="X58" s="294"/>
      <c r="Y58" s="295"/>
      <c r="Z58" s="295"/>
      <c r="AA58" s="295"/>
      <c r="AB58" s="295"/>
      <c r="AC58" s="295"/>
      <c r="AD58" s="294">
        <v>1.0</v>
      </c>
    </row>
    <row r="59" ht="12.75" customHeight="1">
      <c r="A59" s="321" t="s">
        <v>173</v>
      </c>
      <c r="B59" s="298">
        <f t="shared" si="4"/>
        <v>1</v>
      </c>
      <c r="C59" s="298" t="str">
        <f>IFERROR(__xludf.DUMMYFUNCTION("TEXTJOIN("", "", 1, FILTER($D$2:$AD$2, D59:AD59=1))"),"ПКП-6")</f>
        <v>ПКП-6</v>
      </c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2"/>
      <c r="T59" s="311"/>
      <c r="U59" s="311"/>
      <c r="V59" s="311"/>
      <c r="W59" s="311"/>
      <c r="X59" s="313"/>
      <c r="Y59" s="311"/>
      <c r="Z59" s="311"/>
      <c r="AA59" s="311"/>
      <c r="AB59" s="311"/>
      <c r="AC59" s="311"/>
      <c r="AD59" s="313">
        <v>1.0</v>
      </c>
    </row>
    <row r="60" ht="12.75" customHeight="1">
      <c r="A60" s="322" t="s">
        <v>175</v>
      </c>
      <c r="B60" s="314">
        <f t="shared" si="4"/>
        <v>1</v>
      </c>
      <c r="C60" s="298" t="str">
        <f>IFERROR(__xludf.DUMMYFUNCTION("TEXTJOIN("", "", 1, FILTER($D$2:$AD$2, D60:AD60=1))"),"ПКП-6")</f>
        <v>ПКП-6</v>
      </c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6"/>
      <c r="T60" s="295"/>
      <c r="U60" s="295"/>
      <c r="V60" s="295"/>
      <c r="W60" s="295"/>
      <c r="X60" s="294"/>
      <c r="Y60" s="295"/>
      <c r="Z60" s="295"/>
      <c r="AA60" s="295"/>
      <c r="AB60" s="295"/>
      <c r="AC60" s="295"/>
      <c r="AD60" s="294">
        <v>1.0</v>
      </c>
    </row>
    <row r="61" ht="12.75" customHeight="1">
      <c r="A61" s="292" t="s">
        <v>176</v>
      </c>
      <c r="B61" s="298">
        <f t="shared" si="4"/>
        <v>1</v>
      </c>
      <c r="C61" s="298" t="str">
        <f>IFERROR(__xludf.DUMMYFUNCTION("TEXTJOIN("", "", 1, FILTER($D$2:$AD$2, D61:AD61=1))"),"ПКП-6")</f>
        <v>ПКП-6</v>
      </c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6"/>
      <c r="T61" s="295"/>
      <c r="U61" s="295"/>
      <c r="V61" s="295"/>
      <c r="W61" s="295"/>
      <c r="X61" s="294"/>
      <c r="Y61" s="295"/>
      <c r="Z61" s="295"/>
      <c r="AA61" s="295"/>
      <c r="AB61" s="295"/>
      <c r="AC61" s="295"/>
      <c r="AD61" s="294">
        <v>1.0</v>
      </c>
    </row>
    <row r="62" ht="12.75" customHeight="1">
      <c r="A62" s="292" t="s">
        <v>177</v>
      </c>
      <c r="B62" s="307">
        <f t="shared" si="4"/>
        <v>1</v>
      </c>
      <c r="C62" s="298" t="str">
        <f>IFERROR(__xludf.DUMMYFUNCTION("TEXTJOIN("", "", 1, FILTER($D$2:$AD$2, D62:AD62=1))"),"ПКП-6")</f>
        <v>ПКП-6</v>
      </c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6"/>
      <c r="T62" s="295"/>
      <c r="U62" s="295"/>
      <c r="V62" s="295"/>
      <c r="W62" s="295"/>
      <c r="X62" s="294"/>
      <c r="Y62" s="295"/>
      <c r="Z62" s="295"/>
      <c r="AA62" s="295"/>
      <c r="AB62" s="295"/>
      <c r="AC62" s="295"/>
      <c r="AD62" s="294">
        <v>1.0</v>
      </c>
    </row>
    <row r="63" ht="35.25" customHeight="1">
      <c r="A63" s="297" t="s">
        <v>181</v>
      </c>
      <c r="B63" s="298">
        <f t="shared" ref="B63:B68" si="5">COUNTA(D63:AD63)</f>
        <v>5</v>
      </c>
      <c r="C63" s="298" t="str">
        <f>IFERROR(__xludf.DUMMYFUNCTION("TEXTJOIN("", "", 1, FILTER($D$2:$AD$2, D63:AD63=1))"),"УК-1, УК-12, ПКН-5, ПКН-6, ПКП-3")</f>
        <v>УК-1, УК-12, ПКН-5, ПКН-6, ПКП-3</v>
      </c>
      <c r="D63" s="299">
        <v>1.0</v>
      </c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>
        <v>1.0</v>
      </c>
      <c r="P63" s="299"/>
      <c r="Q63" s="299"/>
      <c r="R63" s="299"/>
      <c r="S63" s="300"/>
      <c r="T63" s="299"/>
      <c r="U63" s="299"/>
      <c r="V63" s="299"/>
      <c r="W63" s="299">
        <v>1.0</v>
      </c>
      <c r="X63" s="301">
        <v>1.0</v>
      </c>
      <c r="Y63" s="299"/>
      <c r="Z63" s="299"/>
      <c r="AA63" s="299">
        <v>1.0</v>
      </c>
      <c r="AB63" s="299"/>
      <c r="AC63" s="299"/>
      <c r="AD63" s="301"/>
    </row>
    <row r="64" ht="12.75" customHeight="1">
      <c r="A64" s="292" t="s">
        <v>185</v>
      </c>
      <c r="B64" s="298">
        <f t="shared" si="5"/>
        <v>9</v>
      </c>
      <c r="C64" s="298" t="str">
        <f>IFERROR(__xludf.DUMMYFUNCTION("TEXTJOIN("", "", 1, FILTER($D$2:$AD$2, D64:AD64=1))"),"УК-1, УК-12, ПКН-2, ПКН-4, ПКП-1, ПКП-2, ПКП-4, ПКП-5, ПКП-6")</f>
        <v>УК-1, УК-12, ПКН-2, ПКН-4, ПКП-1, ПКП-2, ПКП-4, ПКП-5, ПКП-6</v>
      </c>
      <c r="D64" s="295">
        <v>1.0</v>
      </c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>
        <v>1.0</v>
      </c>
      <c r="P64" s="295"/>
      <c r="Q64" s="295"/>
      <c r="R64" s="295"/>
      <c r="S64" s="296"/>
      <c r="T64" s="295">
        <v>1.0</v>
      </c>
      <c r="U64" s="295"/>
      <c r="V64" s="295">
        <v>1.0</v>
      </c>
      <c r="W64" s="295"/>
      <c r="X64" s="294"/>
      <c r="Y64" s="295">
        <v>1.0</v>
      </c>
      <c r="Z64" s="295">
        <v>1.0</v>
      </c>
      <c r="AA64" s="295"/>
      <c r="AB64" s="295">
        <v>1.0</v>
      </c>
      <c r="AC64" s="295">
        <v>1.0</v>
      </c>
      <c r="AD64" s="294">
        <v>1.0</v>
      </c>
    </row>
    <row r="65" ht="12.75" customHeight="1">
      <c r="A65" s="309" t="s">
        <v>188</v>
      </c>
      <c r="B65" s="298">
        <f t="shared" si="5"/>
        <v>8</v>
      </c>
      <c r="C65" s="298" t="str">
        <f>IFERROR(__xludf.DUMMYFUNCTION("TEXTJOIN("", "", 1, FILTER($D$2:$AD$2, D65:AD65=1))"),"ПКН-1, ПКН-3, ПКП-1, ПКП-2, ПКП-3, ПКП-4, ПКП-5, ПКП-6")</f>
        <v>ПКН-1, ПКН-3, ПКП-1, ПКП-2, ПКП-3, ПКП-4, ПКП-5, ПКП-6</v>
      </c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2">
        <v>1.0</v>
      </c>
      <c r="T65" s="311"/>
      <c r="U65" s="311">
        <v>1.0</v>
      </c>
      <c r="V65" s="311"/>
      <c r="W65" s="311"/>
      <c r="X65" s="313"/>
      <c r="Y65" s="311">
        <v>1.0</v>
      </c>
      <c r="Z65" s="311">
        <v>1.0</v>
      </c>
      <c r="AA65" s="311">
        <v>1.0</v>
      </c>
      <c r="AB65" s="311">
        <v>1.0</v>
      </c>
      <c r="AC65" s="311">
        <v>1.0</v>
      </c>
      <c r="AD65" s="313">
        <v>1.0</v>
      </c>
    </row>
    <row r="66" ht="12.75" customHeight="1">
      <c r="A66" s="292" t="s">
        <v>240</v>
      </c>
      <c r="B66" s="314">
        <f t="shared" si="5"/>
        <v>0</v>
      </c>
      <c r="C66" s="298" t="str">
        <f>IFERROR(__xludf.DUMMYFUNCTION("TEXTJOIN("", "", 1, FILTER($D$2:$AD$2, D66:AD66=1))"),"#N/A")</f>
        <v>#N/A</v>
      </c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6"/>
      <c r="T66" s="295"/>
      <c r="U66" s="295"/>
      <c r="V66" s="295"/>
      <c r="W66" s="295"/>
      <c r="X66" s="294"/>
      <c r="Y66" s="295"/>
      <c r="Z66" s="295"/>
      <c r="AA66" s="295"/>
      <c r="AB66" s="295"/>
      <c r="AC66" s="295"/>
      <c r="AD66" s="294"/>
    </row>
    <row r="67" ht="12.75" customHeight="1">
      <c r="A67" s="292" t="s">
        <v>241</v>
      </c>
      <c r="B67" s="307">
        <f t="shared" si="5"/>
        <v>0</v>
      </c>
      <c r="C67" s="298" t="str">
        <f>IFERROR(__xludf.DUMMYFUNCTION("TEXTJOIN("", "", 1, FILTER($D$2:$AD$2, D67:AD67=1))"),"#N/A")</f>
        <v>#N/A</v>
      </c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6"/>
      <c r="T67" s="295"/>
      <c r="U67" s="295"/>
      <c r="V67" s="295"/>
      <c r="W67" s="295"/>
      <c r="X67" s="294"/>
      <c r="Y67" s="295"/>
      <c r="Z67" s="295"/>
      <c r="AA67" s="295"/>
      <c r="AB67" s="295"/>
      <c r="AC67" s="295"/>
      <c r="AD67" s="294"/>
    </row>
    <row r="68" ht="12.75" customHeight="1">
      <c r="A68" s="324" t="s">
        <v>198</v>
      </c>
      <c r="B68" s="298">
        <f t="shared" si="5"/>
        <v>1</v>
      </c>
      <c r="C68" s="298" t="str">
        <f t="array" ref="C68">TEXTJOIN(", ", 1, _xlws.FILTER($D$2:$AD$2, D68:AD68=1, ""))</f>
        <v>#NAME?</v>
      </c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>
        <v>1.0</v>
      </c>
      <c r="R68" s="325"/>
      <c r="S68" s="326"/>
      <c r="T68" s="325"/>
      <c r="U68" s="325"/>
      <c r="V68" s="325"/>
      <c r="W68" s="325"/>
      <c r="X68" s="327"/>
      <c r="Y68" s="325"/>
      <c r="Z68" s="325"/>
      <c r="AA68" s="325"/>
      <c r="AB68" s="325"/>
      <c r="AC68" s="325"/>
      <c r="AD68" s="327"/>
    </row>
    <row r="69" ht="12.75" customHeight="1">
      <c r="A69" s="282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</row>
    <row r="70" ht="12.75" customHeight="1">
      <c r="A70" s="282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</row>
    <row r="71" ht="12.75" customHeight="1">
      <c r="A71" s="282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</row>
    <row r="72" ht="12.75" customHeight="1">
      <c r="A72" s="282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</row>
    <row r="73" ht="12.75" customHeight="1">
      <c r="A73" s="282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</row>
    <row r="74" ht="12.75" customHeight="1">
      <c r="A74" s="282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</row>
    <row r="75" ht="12.75" customHeight="1">
      <c r="A75" s="282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</row>
    <row r="76" ht="12.75" customHeight="1">
      <c r="A76" s="282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</row>
    <row r="77" ht="12.75" customHeight="1">
      <c r="A77" s="282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</row>
    <row r="78" ht="12.75" customHeight="1">
      <c r="A78" s="282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</row>
    <row r="79" ht="12.75" customHeight="1">
      <c r="A79" s="282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</row>
    <row r="80" ht="12.75" customHeight="1">
      <c r="A80" s="282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</row>
    <row r="81" ht="12.75" customHeight="1">
      <c r="A81" s="282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</row>
    <row r="82" ht="12.75" customHeight="1">
      <c r="A82" s="282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</row>
    <row r="83" ht="12.75" customHeight="1">
      <c r="B83" s="328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</row>
    <row r="84" ht="12.75" customHeight="1">
      <c r="B84" s="328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</row>
    <row r="85" ht="12.75" customHeight="1">
      <c r="B85" s="328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</row>
    <row r="86" ht="12.75" customHeight="1">
      <c r="B86" s="328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</row>
    <row r="87" ht="12.75" customHeight="1">
      <c r="B87" s="328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</row>
    <row r="88" ht="12.75" customHeight="1">
      <c r="B88" s="328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</row>
    <row r="89" ht="12.75" customHeight="1">
      <c r="B89" s="328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</row>
    <row r="90" ht="12.75" customHeight="1">
      <c r="B90" s="328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</row>
    <row r="91" ht="12.75" customHeight="1">
      <c r="B91" s="328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</row>
    <row r="92" ht="12.75" customHeight="1">
      <c r="B92" s="328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</row>
    <row r="93" ht="12.75" customHeight="1">
      <c r="B93" s="328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</row>
    <row r="94" ht="12.75" customHeight="1">
      <c r="B94" s="328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</row>
    <row r="95" ht="12.75" customHeight="1">
      <c r="B95" s="328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</row>
    <row r="96" ht="12.75" customHeight="1">
      <c r="B96" s="328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</row>
    <row r="97" ht="12.75" customHeight="1">
      <c r="B97" s="328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</row>
    <row r="98" ht="12.75" customHeight="1">
      <c r="B98" s="328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</row>
    <row r="99" ht="12.75" customHeight="1">
      <c r="B99" s="328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</row>
    <row r="100" ht="12.75" customHeight="1">
      <c r="B100" s="328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</row>
    <row r="101" ht="12.75" customHeight="1">
      <c r="B101" s="328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</row>
    <row r="102" ht="12.75" customHeight="1">
      <c r="B102" s="328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</row>
    <row r="103" ht="12.75" customHeight="1">
      <c r="B103" s="328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</row>
    <row r="104" ht="12.75" customHeight="1">
      <c r="B104" s="328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  <c r="AD104" s="286"/>
    </row>
    <row r="105" ht="12.75" customHeight="1">
      <c r="B105" s="328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6"/>
    </row>
    <row r="106" ht="12.75" customHeight="1">
      <c r="B106" s="328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</row>
    <row r="107" ht="12.75" customHeight="1">
      <c r="B107" s="328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</row>
    <row r="108" ht="12.75" customHeight="1">
      <c r="B108" s="328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</row>
    <row r="109" ht="12.75" customHeight="1">
      <c r="B109" s="328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</row>
    <row r="110" ht="12.75" customHeight="1">
      <c r="B110" s="328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</row>
    <row r="111" ht="12.75" customHeight="1">
      <c r="B111" s="328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</row>
    <row r="112" ht="12.75" customHeight="1">
      <c r="B112" s="328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</row>
    <row r="113" ht="12.75" customHeight="1">
      <c r="B113" s="328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</row>
    <row r="114" ht="12.75" customHeight="1">
      <c r="B114" s="328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</row>
    <row r="115" ht="12.75" customHeight="1">
      <c r="B115" s="328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</row>
    <row r="116" ht="12.75" customHeight="1">
      <c r="B116" s="328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</row>
    <row r="117" ht="12.75" customHeight="1">
      <c r="B117" s="328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</row>
    <row r="118" ht="12.75" customHeight="1">
      <c r="B118" s="328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</row>
    <row r="119" ht="12.75" customHeight="1">
      <c r="B119" s="328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</row>
    <row r="120" ht="12.75" customHeight="1">
      <c r="B120" s="328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</row>
    <row r="121" ht="12.75" customHeight="1">
      <c r="B121" s="328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</row>
    <row r="122" ht="12.75" customHeight="1">
      <c r="B122" s="328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</row>
    <row r="123" ht="12.75" customHeight="1">
      <c r="B123" s="328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</row>
    <row r="124" ht="12.75" customHeight="1">
      <c r="B124" s="328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</row>
    <row r="125" ht="12.75" customHeight="1">
      <c r="B125" s="328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</row>
    <row r="126" ht="12.75" customHeight="1">
      <c r="B126" s="328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</row>
    <row r="127" ht="12.75" customHeight="1">
      <c r="B127" s="328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</row>
    <row r="128" ht="12.75" customHeight="1">
      <c r="B128" s="328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</row>
    <row r="129" ht="12.75" customHeight="1">
      <c r="B129" s="328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</row>
    <row r="130" ht="12.75" customHeight="1">
      <c r="B130" s="328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</row>
    <row r="131" ht="12.75" customHeight="1">
      <c r="B131" s="328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</row>
    <row r="132" ht="12.75" customHeight="1">
      <c r="B132" s="328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</row>
    <row r="133" ht="12.75" customHeight="1">
      <c r="B133" s="328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</row>
    <row r="134" ht="12.75" customHeight="1">
      <c r="B134" s="328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</row>
    <row r="135" ht="12.75" customHeight="1">
      <c r="B135" s="328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</row>
    <row r="136" ht="12.75" customHeight="1">
      <c r="B136" s="328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</row>
    <row r="137" ht="12.75" customHeight="1">
      <c r="B137" s="328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</row>
    <row r="138" ht="12.75" customHeight="1">
      <c r="B138" s="328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</row>
    <row r="139" ht="12.75" customHeight="1">
      <c r="B139" s="328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</row>
    <row r="140" ht="12.75" customHeight="1">
      <c r="B140" s="328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</row>
    <row r="141" ht="12.75" customHeight="1">
      <c r="B141" s="328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</row>
    <row r="142" ht="12.75" customHeight="1">
      <c r="B142" s="328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</row>
    <row r="143" ht="12.75" customHeight="1">
      <c r="B143" s="328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</row>
    <row r="144" ht="12.75" customHeight="1">
      <c r="B144" s="328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</row>
    <row r="145" ht="12.75" customHeight="1">
      <c r="B145" s="328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</row>
    <row r="146" ht="12.75" customHeight="1">
      <c r="B146" s="328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</row>
    <row r="147" ht="12.75" customHeight="1">
      <c r="B147" s="328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</row>
    <row r="148" ht="12.75" customHeight="1">
      <c r="B148" s="328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</row>
    <row r="149" ht="12.75" customHeight="1">
      <c r="B149" s="328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</row>
    <row r="150" ht="12.75" customHeight="1">
      <c r="B150" s="328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6"/>
    </row>
    <row r="151" ht="12.75" customHeight="1">
      <c r="B151" s="328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6"/>
    </row>
    <row r="152" ht="12.75" customHeight="1">
      <c r="B152" s="328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</row>
    <row r="153" ht="12.75" customHeight="1">
      <c r="B153" s="328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</row>
    <row r="154" ht="12.75" customHeight="1">
      <c r="B154" s="328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</row>
    <row r="155" ht="12.75" customHeight="1">
      <c r="B155" s="328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</row>
    <row r="156" ht="12.75" customHeight="1">
      <c r="B156" s="328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</row>
    <row r="157" ht="12.75" customHeight="1">
      <c r="B157" s="328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</row>
    <row r="158" ht="12.75" customHeight="1">
      <c r="B158" s="328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</row>
    <row r="159" ht="12.75" customHeight="1">
      <c r="B159" s="328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</row>
    <row r="160" ht="12.75" customHeight="1">
      <c r="B160" s="328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</row>
    <row r="161" ht="12.75" customHeight="1">
      <c r="B161" s="328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</row>
    <row r="162" ht="12.75" customHeight="1">
      <c r="B162" s="328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</row>
    <row r="163" ht="12.75" customHeight="1">
      <c r="B163" s="328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</row>
    <row r="164" ht="12.75" customHeight="1">
      <c r="B164" s="328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</row>
    <row r="165" ht="12.75" customHeight="1">
      <c r="B165" s="328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</row>
    <row r="166" ht="12.75" customHeight="1">
      <c r="B166" s="328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</row>
    <row r="167" ht="12.75" customHeight="1">
      <c r="B167" s="328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</row>
    <row r="168" ht="12.75" customHeight="1">
      <c r="B168" s="328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</row>
    <row r="169" ht="12.75" customHeight="1">
      <c r="B169" s="328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</row>
    <row r="170" ht="12.75" customHeight="1">
      <c r="B170" s="328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  <c r="AD170" s="286"/>
    </row>
    <row r="171" ht="12.75" customHeight="1">
      <c r="B171" s="328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</row>
    <row r="172" ht="12.75" customHeight="1">
      <c r="B172" s="328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</row>
    <row r="173" ht="12.75" customHeight="1">
      <c r="B173" s="328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</row>
    <row r="174" ht="12.75" customHeight="1">
      <c r="B174" s="328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</row>
    <row r="175" ht="12.75" customHeight="1">
      <c r="B175" s="328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</row>
    <row r="176" ht="12.75" customHeight="1">
      <c r="B176" s="328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</row>
    <row r="177" ht="12.75" customHeight="1">
      <c r="B177" s="328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</row>
    <row r="178" ht="12.75" customHeight="1">
      <c r="B178" s="328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</row>
    <row r="179" ht="12.75" customHeight="1">
      <c r="B179" s="328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</row>
    <row r="180" ht="12.75" customHeight="1">
      <c r="B180" s="328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</row>
    <row r="181" ht="12.75" customHeight="1">
      <c r="B181" s="328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</row>
    <row r="182" ht="12.75" customHeight="1">
      <c r="B182" s="328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</row>
    <row r="183" ht="12.75" customHeight="1">
      <c r="B183" s="328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</row>
    <row r="184" ht="12.75" customHeight="1">
      <c r="B184" s="328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</row>
    <row r="185" ht="12.75" customHeight="1">
      <c r="B185" s="328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</row>
    <row r="186" ht="12.75" customHeight="1">
      <c r="B186" s="328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</row>
    <row r="187" ht="12.75" customHeight="1">
      <c r="B187" s="328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</row>
    <row r="188" ht="12.75" customHeight="1">
      <c r="B188" s="328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</row>
    <row r="189" ht="12.75" customHeight="1">
      <c r="B189" s="328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</row>
    <row r="190" ht="12.75" customHeight="1">
      <c r="B190" s="328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</row>
    <row r="191" ht="12.75" customHeight="1">
      <c r="B191" s="328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</row>
    <row r="192" ht="12.75" customHeight="1">
      <c r="B192" s="328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</row>
    <row r="193" ht="12.75" customHeight="1">
      <c r="B193" s="328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</row>
    <row r="194" ht="12.75" customHeight="1">
      <c r="B194" s="328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</row>
    <row r="195" ht="12.75" customHeight="1">
      <c r="B195" s="328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</row>
    <row r="196" ht="12.75" customHeight="1">
      <c r="B196" s="328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</row>
    <row r="197" ht="12.75" customHeight="1">
      <c r="B197" s="328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</row>
    <row r="198" ht="12.75" customHeight="1">
      <c r="B198" s="328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</row>
    <row r="199" ht="12.75" customHeight="1">
      <c r="B199" s="328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</row>
    <row r="200" ht="12.75" customHeight="1">
      <c r="B200" s="328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</row>
    <row r="201" ht="12.75" customHeight="1">
      <c r="B201" s="328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6"/>
    </row>
    <row r="202" ht="12.75" customHeight="1">
      <c r="B202" s="328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6"/>
    </row>
    <row r="203" ht="12.75" customHeight="1">
      <c r="B203" s="328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</row>
    <row r="204" ht="12.75" customHeight="1">
      <c r="B204" s="328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</row>
    <row r="205" ht="12.75" customHeight="1">
      <c r="B205" s="328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</row>
    <row r="206" ht="12.75" customHeight="1">
      <c r="B206" s="328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</row>
    <row r="207" ht="12.75" customHeight="1">
      <c r="B207" s="328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</row>
    <row r="208" ht="12.75" customHeight="1">
      <c r="B208" s="328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</row>
    <row r="209" ht="12.75" customHeight="1">
      <c r="B209" s="328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</row>
    <row r="210" ht="12.75" customHeight="1">
      <c r="B210" s="328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</row>
    <row r="211" ht="12.75" customHeight="1">
      <c r="B211" s="328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6"/>
    </row>
    <row r="212" ht="12.75" customHeight="1">
      <c r="B212" s="328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6"/>
    </row>
    <row r="213" ht="12.75" customHeight="1">
      <c r="B213" s="328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</row>
    <row r="214" ht="12.75" customHeight="1">
      <c r="B214" s="328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</row>
    <row r="215" ht="12.75" customHeight="1">
      <c r="B215" s="328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</row>
    <row r="216" ht="12.75" customHeight="1">
      <c r="B216" s="328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  <c r="AD216" s="286"/>
    </row>
    <row r="217" ht="12.75" customHeight="1">
      <c r="B217" s="328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</row>
    <row r="218" ht="12.75" customHeight="1">
      <c r="B218" s="328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</row>
    <row r="219" ht="12.75" customHeight="1">
      <c r="B219" s="328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</row>
    <row r="220" ht="12.75" customHeight="1">
      <c r="B220" s="328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</row>
    <row r="221" ht="12.75" customHeight="1">
      <c r="B221" s="328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</row>
    <row r="222" ht="12.75" customHeight="1">
      <c r="B222" s="328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</row>
    <row r="223" ht="12.75" customHeight="1">
      <c r="B223" s="328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</row>
    <row r="224" ht="12.75" customHeight="1">
      <c r="B224" s="328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</row>
    <row r="225" ht="12.75" customHeight="1">
      <c r="B225" s="328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</row>
    <row r="226" ht="12.75" customHeight="1">
      <c r="B226" s="328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</row>
    <row r="227" ht="12.75" customHeight="1">
      <c r="B227" s="328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</row>
    <row r="228" ht="12.75" customHeight="1">
      <c r="B228" s="328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</row>
    <row r="229" ht="12.75" customHeight="1">
      <c r="B229" s="328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</row>
    <row r="230" ht="12.75" customHeight="1">
      <c r="B230" s="328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</row>
    <row r="231" ht="12.75" customHeight="1">
      <c r="B231" s="328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</row>
    <row r="232" ht="12.75" customHeight="1">
      <c r="B232" s="328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</row>
    <row r="233" ht="12.75" customHeight="1">
      <c r="B233" s="328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</row>
    <row r="234" ht="12.75" customHeight="1">
      <c r="B234" s="328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</row>
    <row r="235" ht="12.75" customHeight="1">
      <c r="B235" s="328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</row>
    <row r="236" ht="12.75" customHeight="1">
      <c r="B236" s="328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</row>
    <row r="237" ht="12.75" customHeight="1">
      <c r="B237" s="328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</row>
    <row r="238" ht="12.75" customHeight="1">
      <c r="B238" s="328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</row>
    <row r="239" ht="12.75" customHeight="1">
      <c r="B239" s="328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</row>
    <row r="240" ht="12.75" customHeight="1">
      <c r="B240" s="328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</row>
    <row r="241" ht="12.75" customHeight="1">
      <c r="B241" s="328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</row>
    <row r="242" ht="12.75" customHeight="1">
      <c r="B242" s="328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286"/>
    </row>
    <row r="243" ht="12.75" customHeight="1">
      <c r="B243" s="328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286"/>
    </row>
    <row r="244" ht="12.75" customHeight="1">
      <c r="B244" s="328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</row>
    <row r="245" ht="12.75" customHeight="1">
      <c r="B245" s="328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</row>
    <row r="246" ht="12.75" customHeight="1">
      <c r="B246" s="328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</row>
    <row r="247" ht="12.75" customHeight="1">
      <c r="B247" s="328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</row>
    <row r="248" ht="12.75" customHeight="1">
      <c r="B248" s="328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</row>
    <row r="249" ht="12.75" customHeight="1">
      <c r="B249" s="328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</row>
    <row r="250" ht="12.75" customHeight="1">
      <c r="B250" s="328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</row>
    <row r="251" ht="12.75" customHeight="1">
      <c r="B251" s="328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</row>
    <row r="252" ht="12.75" customHeight="1">
      <c r="B252" s="328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</row>
    <row r="253" ht="12.75" customHeight="1">
      <c r="B253" s="328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</row>
    <row r="254" ht="12.75" customHeight="1">
      <c r="B254" s="328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</row>
    <row r="255" ht="12.75" customHeight="1">
      <c r="B255" s="328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</row>
    <row r="256" ht="12.75" customHeight="1">
      <c r="B256" s="328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</row>
    <row r="257" ht="12.75" customHeight="1">
      <c r="B257" s="328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</row>
    <row r="258" ht="12.75" customHeight="1">
      <c r="B258" s="328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  <c r="AD258" s="286"/>
    </row>
    <row r="259" ht="12.75" customHeight="1">
      <c r="B259" s="328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</row>
    <row r="260" ht="12.75" customHeight="1">
      <c r="B260" s="328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</row>
    <row r="261" ht="12.75" customHeight="1">
      <c r="B261" s="328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</row>
    <row r="262" ht="12.75" customHeight="1">
      <c r="B262" s="328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  <c r="AD262" s="286"/>
    </row>
    <row r="263" ht="12.75" customHeight="1">
      <c r="B263" s="328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  <c r="AD263" s="286"/>
    </row>
    <row r="264" ht="12.75" customHeight="1">
      <c r="B264" s="328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</row>
    <row r="265" ht="12.75" customHeight="1">
      <c r="B265" s="328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</row>
    <row r="266" ht="12.75" customHeight="1">
      <c r="B266" s="328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</row>
    <row r="267" ht="12.75" customHeight="1">
      <c r="B267" s="328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</row>
    <row r="268" ht="12.75" customHeight="1">
      <c r="B268" s="328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</row>
    <row r="269" ht="12.75" customHeight="1">
      <c r="B269" s="328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</row>
    <row r="270" ht="12.75" customHeight="1">
      <c r="B270" s="328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</row>
    <row r="271" ht="12.75" customHeight="1">
      <c r="B271" s="328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</row>
    <row r="272" ht="12.75" customHeight="1">
      <c r="B272" s="328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</row>
    <row r="273" ht="12.75" customHeight="1">
      <c r="B273" s="328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</row>
    <row r="274" ht="12.75" customHeight="1">
      <c r="B274" s="328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</row>
    <row r="275" ht="12.75" customHeight="1">
      <c r="B275" s="328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</row>
    <row r="276" ht="12.75" customHeight="1">
      <c r="B276" s="328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</row>
    <row r="277" ht="12.75" customHeight="1">
      <c r="B277" s="328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</row>
    <row r="278" ht="12.75" customHeight="1">
      <c r="B278" s="328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</row>
    <row r="279" ht="12.75" customHeight="1">
      <c r="B279" s="328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</row>
    <row r="280" ht="12.75" customHeight="1">
      <c r="B280" s="328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</row>
    <row r="281" ht="12.75" customHeight="1">
      <c r="B281" s="328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</row>
    <row r="282" ht="12.75" customHeight="1">
      <c r="B282" s="328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</row>
    <row r="283" ht="12.75" customHeight="1">
      <c r="B283" s="328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</row>
    <row r="284" ht="12.75" customHeight="1">
      <c r="B284" s="328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</row>
    <row r="285" ht="12.75" customHeight="1">
      <c r="B285" s="328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</row>
    <row r="286" ht="12.75" customHeight="1">
      <c r="B286" s="328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</row>
    <row r="287" ht="12.75" customHeight="1">
      <c r="B287" s="328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</row>
    <row r="288" ht="12.75" customHeight="1">
      <c r="B288" s="328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</row>
    <row r="289" ht="12.75" customHeight="1">
      <c r="B289" s="328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</row>
    <row r="290" ht="12.75" customHeight="1">
      <c r="B290" s="328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</row>
    <row r="291" ht="12.75" customHeight="1">
      <c r="B291" s="328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</row>
    <row r="292" ht="12.75" customHeight="1">
      <c r="B292" s="328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</row>
    <row r="293" ht="12.75" customHeight="1">
      <c r="B293" s="328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6"/>
    </row>
    <row r="294" ht="12.75" customHeight="1">
      <c r="B294" s="328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6"/>
    </row>
    <row r="295" ht="12.75" customHeight="1">
      <c r="B295" s="328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</row>
    <row r="296" ht="12.75" customHeight="1">
      <c r="B296" s="328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</row>
    <row r="297" ht="12.75" customHeight="1">
      <c r="B297" s="328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</row>
    <row r="298" ht="12.75" customHeight="1">
      <c r="B298" s="328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</row>
    <row r="299" ht="12.75" customHeight="1">
      <c r="B299" s="328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6"/>
    </row>
    <row r="300" ht="12.75" customHeight="1">
      <c r="B300" s="328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</row>
    <row r="301" ht="12.75" customHeight="1">
      <c r="B301" s="328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</row>
    <row r="302" ht="12.75" customHeight="1">
      <c r="B302" s="328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</row>
    <row r="303" ht="12.75" customHeight="1">
      <c r="B303" s="328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6"/>
    </row>
    <row r="304" ht="12.75" customHeight="1">
      <c r="B304" s="328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6"/>
    </row>
    <row r="305" ht="12.75" customHeight="1">
      <c r="B305" s="328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</row>
    <row r="306" ht="12.75" customHeight="1">
      <c r="B306" s="328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</row>
    <row r="307" ht="12.75" customHeight="1">
      <c r="B307" s="328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</row>
    <row r="308" ht="12.75" customHeight="1">
      <c r="B308" s="328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</row>
    <row r="309" ht="12.75" customHeight="1">
      <c r="B309" s="328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</row>
    <row r="310" ht="12.75" customHeight="1">
      <c r="B310" s="328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</row>
    <row r="311" ht="12.75" customHeight="1">
      <c r="B311" s="328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</row>
    <row r="312" ht="12.75" customHeight="1">
      <c r="B312" s="328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</row>
    <row r="313" ht="12.75" customHeight="1">
      <c r="B313" s="328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</row>
    <row r="314" ht="12.75" customHeight="1">
      <c r="B314" s="328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</row>
    <row r="315" ht="12.75" customHeight="1">
      <c r="B315" s="328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</row>
    <row r="316" ht="12.75" customHeight="1">
      <c r="B316" s="328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</row>
    <row r="317" ht="12.75" customHeight="1">
      <c r="B317" s="328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</row>
    <row r="318" ht="12.75" customHeight="1">
      <c r="B318" s="328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</row>
    <row r="319" ht="12.75" customHeight="1">
      <c r="B319" s="328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</row>
    <row r="320" ht="12.75" customHeight="1">
      <c r="B320" s="328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</row>
    <row r="321" ht="12.75" customHeight="1">
      <c r="B321" s="328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</row>
    <row r="322" ht="12.75" customHeight="1">
      <c r="B322" s="328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</row>
    <row r="323" ht="12.75" customHeight="1">
      <c r="B323" s="328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</row>
    <row r="324" ht="12.75" customHeight="1">
      <c r="B324" s="328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</row>
    <row r="325" ht="12.75" customHeight="1">
      <c r="B325" s="328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</row>
    <row r="326" ht="12.75" customHeight="1">
      <c r="B326" s="328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</row>
    <row r="327" ht="12.75" customHeight="1">
      <c r="B327" s="328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</row>
    <row r="328" ht="12.75" customHeight="1">
      <c r="B328" s="328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</row>
    <row r="329" ht="12.75" customHeight="1">
      <c r="B329" s="328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</row>
    <row r="330" ht="12.75" customHeight="1">
      <c r="B330" s="328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</row>
    <row r="331" ht="12.75" customHeight="1">
      <c r="B331" s="328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</row>
    <row r="332" ht="12.75" customHeight="1">
      <c r="B332" s="328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</row>
    <row r="333" ht="12.75" customHeight="1">
      <c r="B333" s="328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</row>
    <row r="334" ht="12.75" customHeight="1">
      <c r="B334" s="328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</row>
    <row r="335" ht="12.75" customHeight="1">
      <c r="B335" s="328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</row>
    <row r="336" ht="12.75" customHeight="1">
      <c r="B336" s="328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</row>
    <row r="337" ht="12.75" customHeight="1">
      <c r="B337" s="328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</row>
    <row r="338" ht="12.75" customHeight="1">
      <c r="B338" s="328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</row>
    <row r="339" ht="12.75" customHeight="1">
      <c r="B339" s="328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  <c r="AD339" s="286"/>
    </row>
    <row r="340" ht="12.75" customHeight="1">
      <c r="B340" s="328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  <c r="AD340" s="286"/>
    </row>
    <row r="341" ht="12.75" customHeight="1">
      <c r="B341" s="328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</row>
    <row r="342" ht="12.75" customHeight="1">
      <c r="B342" s="328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</row>
    <row r="343" ht="12.75" customHeight="1">
      <c r="B343" s="328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</row>
    <row r="344" ht="12.75" customHeight="1">
      <c r="B344" s="328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</row>
    <row r="345" ht="12.75" customHeight="1">
      <c r="B345" s="328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</row>
    <row r="346" ht="12.75" customHeight="1">
      <c r="B346" s="328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</row>
    <row r="347" ht="12.75" customHeight="1">
      <c r="B347" s="328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</row>
    <row r="348" ht="12.75" customHeight="1">
      <c r="B348" s="328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</row>
    <row r="349" ht="12.75" customHeight="1">
      <c r="B349" s="328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</row>
    <row r="350" ht="12.75" customHeight="1">
      <c r="B350" s="328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</row>
    <row r="351" ht="12.75" customHeight="1">
      <c r="B351" s="328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</row>
    <row r="352" ht="12.75" customHeight="1">
      <c r="B352" s="328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</row>
    <row r="353" ht="12.75" customHeight="1">
      <c r="B353" s="328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</row>
    <row r="354" ht="12.75" customHeight="1">
      <c r="B354" s="328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  <c r="AD354" s="286"/>
    </row>
    <row r="355" ht="12.75" customHeight="1">
      <c r="B355" s="328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  <c r="AD355" s="286"/>
    </row>
    <row r="356" ht="12.75" customHeight="1">
      <c r="B356" s="328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</row>
    <row r="357" ht="12.75" customHeight="1">
      <c r="B357" s="328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</row>
    <row r="358" ht="12.75" customHeight="1">
      <c r="B358" s="328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</row>
    <row r="359" ht="12.75" customHeight="1">
      <c r="B359" s="328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</row>
    <row r="360" ht="12.75" customHeight="1">
      <c r="B360" s="328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</row>
    <row r="361" ht="12.75" customHeight="1">
      <c r="B361" s="328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</row>
    <row r="362" ht="12.75" customHeight="1">
      <c r="B362" s="328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</row>
    <row r="363" ht="12.75" customHeight="1">
      <c r="B363" s="328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</row>
    <row r="364" ht="12.75" customHeight="1">
      <c r="B364" s="328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</row>
    <row r="365" ht="12.75" customHeight="1">
      <c r="B365" s="328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</row>
    <row r="366" ht="12.75" customHeight="1">
      <c r="B366" s="328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</row>
    <row r="367" ht="12.75" customHeight="1">
      <c r="B367" s="328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</row>
    <row r="368" ht="12.75" customHeight="1">
      <c r="B368" s="328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</row>
    <row r="369" ht="12.75" customHeight="1">
      <c r="B369" s="328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</row>
    <row r="370" ht="12.75" customHeight="1">
      <c r="B370" s="328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</row>
    <row r="371" ht="12.75" customHeight="1">
      <c r="B371" s="328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</row>
    <row r="372" ht="12.75" customHeight="1">
      <c r="B372" s="328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</row>
    <row r="373" ht="12.75" customHeight="1">
      <c r="B373" s="328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</row>
    <row r="374" ht="12.75" customHeight="1">
      <c r="B374" s="328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</row>
    <row r="375" ht="12.75" customHeight="1">
      <c r="B375" s="328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</row>
    <row r="376" ht="12.75" customHeight="1">
      <c r="B376" s="328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</row>
    <row r="377" ht="12.75" customHeight="1">
      <c r="B377" s="328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</row>
    <row r="378" ht="12.75" customHeight="1">
      <c r="B378" s="328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</row>
    <row r="379" ht="12.75" customHeight="1">
      <c r="B379" s="328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</row>
    <row r="380" ht="12.75" customHeight="1">
      <c r="B380" s="328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</row>
    <row r="381" ht="12.75" customHeight="1">
      <c r="B381" s="328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</row>
    <row r="382" ht="12.75" customHeight="1">
      <c r="B382" s="328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</row>
    <row r="383" ht="12.75" customHeight="1">
      <c r="B383" s="328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</row>
    <row r="384" ht="12.75" customHeight="1">
      <c r="B384" s="328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</row>
    <row r="385" ht="12.75" customHeight="1">
      <c r="B385" s="328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  <c r="AD385" s="286"/>
    </row>
    <row r="386" ht="12.75" customHeight="1">
      <c r="B386" s="328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  <c r="AD386" s="286"/>
    </row>
    <row r="387" ht="12.75" customHeight="1">
      <c r="B387" s="328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</row>
    <row r="388" ht="12.75" customHeight="1">
      <c r="B388" s="328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</row>
    <row r="389" ht="12.75" customHeight="1">
      <c r="B389" s="328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</row>
    <row r="390" ht="12.75" customHeight="1">
      <c r="B390" s="328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  <c r="AD390" s="286"/>
    </row>
    <row r="391" ht="12.75" customHeight="1">
      <c r="B391" s="328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  <c r="AD391" s="286"/>
    </row>
    <row r="392" ht="12.75" customHeight="1">
      <c r="B392" s="328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  <c r="AD392" s="286"/>
    </row>
    <row r="393" ht="12.75" customHeight="1">
      <c r="B393" s="328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  <c r="AD393" s="286"/>
    </row>
    <row r="394" ht="12.75" customHeight="1">
      <c r="B394" s="328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</row>
    <row r="395" ht="12.75" customHeight="1">
      <c r="B395" s="328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  <c r="AD395" s="286"/>
    </row>
    <row r="396" ht="12.75" customHeight="1">
      <c r="B396" s="328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  <c r="AD396" s="286"/>
    </row>
    <row r="397" ht="12.75" customHeight="1">
      <c r="B397" s="328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</row>
    <row r="398" ht="12.75" customHeight="1">
      <c r="B398" s="328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</row>
    <row r="399" ht="12.75" customHeight="1">
      <c r="B399" s="328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</row>
    <row r="400" ht="12.75" customHeight="1">
      <c r="B400" s="328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  <c r="AD400" s="286"/>
    </row>
    <row r="401" ht="12.75" customHeight="1">
      <c r="B401" s="328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  <c r="AD401" s="286"/>
    </row>
    <row r="402" ht="12.75" customHeight="1">
      <c r="B402" s="328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</row>
    <row r="403" ht="12.75" customHeight="1">
      <c r="B403" s="328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</row>
    <row r="404" ht="12.75" customHeight="1">
      <c r="B404" s="328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</row>
    <row r="405" ht="12.75" customHeight="1">
      <c r="B405" s="328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</row>
    <row r="406" ht="12.75" customHeight="1">
      <c r="B406" s="328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</row>
    <row r="407" ht="12.75" customHeight="1">
      <c r="B407" s="328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</row>
    <row r="408" ht="12.75" customHeight="1">
      <c r="B408" s="328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</row>
    <row r="409" ht="12.75" customHeight="1">
      <c r="B409" s="328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</row>
    <row r="410" ht="12.75" customHeight="1">
      <c r="B410" s="328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</row>
    <row r="411" ht="12.75" customHeight="1">
      <c r="B411" s="328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</row>
    <row r="412" ht="12.75" customHeight="1">
      <c r="B412" s="328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</row>
    <row r="413" ht="12.75" customHeight="1">
      <c r="B413" s="328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</row>
    <row r="414" ht="12.75" customHeight="1">
      <c r="B414" s="328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</row>
    <row r="415" ht="12.75" customHeight="1">
      <c r="B415" s="328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</row>
    <row r="416" ht="12.75" customHeight="1">
      <c r="B416" s="328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</row>
    <row r="417" ht="12.75" customHeight="1">
      <c r="B417" s="328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</row>
    <row r="418" ht="12.75" customHeight="1">
      <c r="B418" s="328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</row>
    <row r="419" ht="12.75" customHeight="1">
      <c r="B419" s="328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</row>
    <row r="420" ht="12.75" customHeight="1">
      <c r="B420" s="328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</row>
    <row r="421" ht="12.75" customHeight="1">
      <c r="B421" s="328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</row>
    <row r="422" ht="12.75" customHeight="1">
      <c r="B422" s="328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</row>
    <row r="423" ht="12.75" customHeight="1">
      <c r="B423" s="328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</row>
    <row r="424" ht="12.75" customHeight="1">
      <c r="B424" s="328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</row>
    <row r="425" ht="12.75" customHeight="1">
      <c r="B425" s="328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</row>
    <row r="426" ht="12.75" customHeight="1">
      <c r="B426" s="328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</row>
    <row r="427" ht="12.75" customHeight="1">
      <c r="B427" s="328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</row>
    <row r="428" ht="12.75" customHeight="1">
      <c r="B428" s="328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</row>
    <row r="429" ht="12.75" customHeight="1">
      <c r="B429" s="328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</row>
    <row r="430" ht="12.75" customHeight="1">
      <c r="B430" s="328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</row>
    <row r="431" ht="12.75" customHeight="1">
      <c r="B431" s="328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</row>
    <row r="432" ht="12.75" customHeight="1">
      <c r="B432" s="328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</row>
    <row r="433" ht="12.75" customHeight="1">
      <c r="B433" s="328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</row>
    <row r="434" ht="12.75" customHeight="1">
      <c r="B434" s="328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</row>
    <row r="435" ht="12.75" customHeight="1">
      <c r="B435" s="328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</row>
    <row r="436" ht="12.75" customHeight="1">
      <c r="B436" s="328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  <c r="AD436" s="286"/>
    </row>
    <row r="437" ht="12.75" customHeight="1">
      <c r="B437" s="328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  <c r="AD437" s="286"/>
    </row>
    <row r="438" ht="12.75" customHeight="1">
      <c r="B438" s="328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</row>
    <row r="439" ht="12.75" customHeight="1">
      <c r="B439" s="328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</row>
    <row r="440" ht="12.75" customHeight="1">
      <c r="B440" s="328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  <c r="AD440" s="286"/>
    </row>
    <row r="441" ht="12.75" customHeight="1">
      <c r="B441" s="328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  <c r="AD441" s="286"/>
    </row>
    <row r="442" ht="12.75" customHeight="1">
      <c r="B442" s="328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  <c r="AD442" s="286"/>
    </row>
    <row r="443" ht="12.75" customHeight="1">
      <c r="B443" s="328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</row>
    <row r="444" ht="12.75" customHeight="1">
      <c r="B444" s="328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</row>
    <row r="445" ht="12.75" customHeight="1">
      <c r="B445" s="328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</row>
    <row r="446" ht="12.75" customHeight="1">
      <c r="B446" s="328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  <c r="AD446" s="286"/>
    </row>
    <row r="447" ht="12.75" customHeight="1">
      <c r="B447" s="328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  <c r="AD447" s="286"/>
    </row>
    <row r="448" ht="12.75" customHeight="1">
      <c r="B448" s="328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</row>
    <row r="449" ht="12.75" customHeight="1">
      <c r="B449" s="328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</row>
    <row r="450" ht="12.75" customHeight="1">
      <c r="B450" s="328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</row>
    <row r="451" ht="12.75" customHeight="1">
      <c r="B451" s="328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</row>
    <row r="452" ht="12.75" customHeight="1">
      <c r="B452" s="328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</row>
    <row r="453" ht="12.75" customHeight="1">
      <c r="B453" s="328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</row>
    <row r="454" ht="12.75" customHeight="1">
      <c r="B454" s="328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</row>
    <row r="455" ht="12.75" customHeight="1">
      <c r="B455" s="328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</row>
    <row r="456" ht="12.75" customHeight="1">
      <c r="B456" s="328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</row>
    <row r="457" ht="12.75" customHeight="1">
      <c r="B457" s="328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</row>
    <row r="458" ht="12.75" customHeight="1">
      <c r="B458" s="328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</row>
    <row r="459" ht="12.75" customHeight="1">
      <c r="B459" s="328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</row>
    <row r="460" ht="12.75" customHeight="1">
      <c r="B460" s="328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</row>
    <row r="461" ht="12.75" customHeight="1">
      <c r="B461" s="328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</row>
    <row r="462" ht="12.75" customHeight="1">
      <c r="B462" s="328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</row>
    <row r="463" ht="12.75" customHeight="1">
      <c r="B463" s="328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</row>
    <row r="464" ht="12.75" customHeight="1">
      <c r="B464" s="328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</row>
    <row r="465" ht="12.75" customHeight="1">
      <c r="B465" s="328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</row>
    <row r="466" ht="12.75" customHeight="1">
      <c r="B466" s="328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</row>
    <row r="467" ht="12.75" customHeight="1">
      <c r="B467" s="328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</row>
    <row r="468" ht="12.75" customHeight="1">
      <c r="B468" s="328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</row>
    <row r="469" ht="12.75" customHeight="1">
      <c r="B469" s="328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</row>
    <row r="470" ht="12.75" customHeight="1">
      <c r="B470" s="328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</row>
    <row r="471" ht="12.75" customHeight="1">
      <c r="B471" s="328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</row>
    <row r="472" ht="12.75" customHeight="1">
      <c r="B472" s="328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  <c r="AD472" s="286"/>
    </row>
    <row r="473" ht="12.75" customHeight="1">
      <c r="B473" s="328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  <c r="AD473" s="286"/>
    </row>
    <row r="474" ht="12.75" customHeight="1">
      <c r="B474" s="328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</row>
    <row r="475" ht="12.75" customHeight="1">
      <c r="B475" s="328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</row>
    <row r="476" ht="12.75" customHeight="1">
      <c r="B476" s="328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</row>
    <row r="477" ht="12.75" customHeight="1">
      <c r="B477" s="328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  <c r="AD477" s="286"/>
    </row>
    <row r="478" ht="12.75" customHeight="1">
      <c r="B478" s="328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  <c r="AD478" s="286"/>
    </row>
    <row r="479" ht="12.75" customHeight="1">
      <c r="B479" s="328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</row>
    <row r="480" ht="12.75" customHeight="1">
      <c r="B480" s="328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</row>
    <row r="481" ht="12.75" customHeight="1">
      <c r="B481" s="328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</row>
    <row r="482" ht="12.75" customHeight="1">
      <c r="B482" s="328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</row>
    <row r="483" ht="12.75" customHeight="1">
      <c r="B483" s="328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</row>
    <row r="484" ht="12.75" customHeight="1">
      <c r="B484" s="328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</row>
    <row r="485" ht="12.75" customHeight="1">
      <c r="B485" s="328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</row>
    <row r="486" ht="12.75" customHeight="1">
      <c r="B486" s="328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</row>
    <row r="487" ht="12.75" customHeight="1">
      <c r="B487" s="328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  <c r="AD487" s="286"/>
    </row>
    <row r="488" ht="12.75" customHeight="1">
      <c r="B488" s="328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  <c r="AD488" s="286"/>
    </row>
    <row r="489" ht="12.75" customHeight="1">
      <c r="B489" s="328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</row>
    <row r="490" ht="12.75" customHeight="1">
      <c r="B490" s="328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</row>
    <row r="491" ht="12.75" customHeight="1">
      <c r="B491" s="328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</row>
    <row r="492" ht="12.75" customHeight="1">
      <c r="B492" s="328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</row>
    <row r="493" ht="12.75" customHeight="1">
      <c r="B493" s="328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</row>
    <row r="494" ht="12.75" customHeight="1">
      <c r="B494" s="328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</row>
    <row r="495" ht="12.75" customHeight="1">
      <c r="B495" s="328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</row>
    <row r="496" ht="12.75" customHeight="1">
      <c r="B496" s="328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</row>
    <row r="497" ht="12.75" customHeight="1">
      <c r="B497" s="328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</row>
    <row r="498" ht="12.75" customHeight="1">
      <c r="B498" s="328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</row>
    <row r="499" ht="12.75" customHeight="1">
      <c r="B499" s="328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</row>
    <row r="500" ht="12.75" customHeight="1">
      <c r="B500" s="328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</row>
    <row r="501" ht="12.75" customHeight="1">
      <c r="B501" s="328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</row>
    <row r="502" ht="12.75" customHeight="1">
      <c r="B502" s="328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</row>
    <row r="503" ht="12.75" customHeight="1">
      <c r="B503" s="328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</row>
    <row r="504" ht="12.75" customHeight="1">
      <c r="B504" s="328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</row>
    <row r="505" ht="12.75" customHeight="1">
      <c r="B505" s="328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</row>
    <row r="506" ht="12.75" customHeight="1">
      <c r="B506" s="328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</row>
    <row r="507" ht="12.75" customHeight="1">
      <c r="B507" s="328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</row>
    <row r="508" ht="12.75" customHeight="1">
      <c r="B508" s="328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</row>
    <row r="509" ht="12.75" customHeight="1">
      <c r="B509" s="328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</row>
    <row r="510" ht="12.75" customHeight="1">
      <c r="B510" s="328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</row>
    <row r="511" ht="12.75" customHeight="1">
      <c r="B511" s="328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</row>
    <row r="512" ht="12.75" customHeight="1">
      <c r="B512" s="328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</row>
    <row r="513" ht="12.75" customHeight="1">
      <c r="B513" s="328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</row>
    <row r="514" ht="12.75" customHeight="1">
      <c r="B514" s="328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</row>
    <row r="515" ht="12.75" customHeight="1">
      <c r="B515" s="328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</row>
    <row r="516" ht="12.75" customHeight="1">
      <c r="B516" s="328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</row>
    <row r="517" ht="12.75" customHeight="1">
      <c r="B517" s="328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</row>
    <row r="518" ht="12.75" customHeight="1">
      <c r="B518" s="328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</row>
    <row r="519" ht="12.75" customHeight="1">
      <c r="B519" s="328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</row>
    <row r="520" ht="12.75" customHeight="1">
      <c r="B520" s="328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</row>
    <row r="521" ht="12.75" customHeight="1">
      <c r="B521" s="328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</row>
    <row r="522" ht="12.75" customHeight="1">
      <c r="B522" s="328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</row>
    <row r="523" ht="12.75" customHeight="1">
      <c r="B523" s="328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</row>
    <row r="524" ht="12.75" customHeight="1">
      <c r="B524" s="328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</row>
    <row r="525" ht="12.75" customHeight="1">
      <c r="B525" s="328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</row>
    <row r="526" ht="12.75" customHeight="1">
      <c r="B526" s="328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</row>
    <row r="527" ht="12.75" customHeight="1">
      <c r="B527" s="328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</row>
    <row r="528" ht="12.75" customHeight="1">
      <c r="B528" s="328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</row>
    <row r="529" ht="12.75" customHeight="1">
      <c r="B529" s="328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</row>
    <row r="530" ht="12.75" customHeight="1">
      <c r="B530" s="328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</row>
    <row r="531" ht="12.75" customHeight="1">
      <c r="B531" s="328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</row>
    <row r="532" ht="12.75" customHeight="1">
      <c r="B532" s="328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</row>
    <row r="533" ht="12.75" customHeight="1">
      <c r="B533" s="328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</row>
    <row r="534" ht="12.75" customHeight="1">
      <c r="B534" s="328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</row>
    <row r="535" ht="12.75" customHeight="1">
      <c r="B535" s="328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</row>
    <row r="536" ht="12.75" customHeight="1">
      <c r="B536" s="328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</row>
    <row r="537" ht="12.75" customHeight="1">
      <c r="B537" s="328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</row>
    <row r="538" ht="12.75" customHeight="1">
      <c r="B538" s="328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</row>
    <row r="539" ht="12.75" customHeight="1">
      <c r="B539" s="328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</row>
    <row r="540" ht="12.75" customHeight="1">
      <c r="B540" s="328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</row>
    <row r="541" ht="12.75" customHeight="1">
      <c r="B541" s="328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</row>
    <row r="542" ht="12.75" customHeight="1">
      <c r="B542" s="328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</row>
    <row r="543" ht="12.75" customHeight="1">
      <c r="B543" s="328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</row>
    <row r="544" ht="12.75" customHeight="1">
      <c r="B544" s="328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</row>
    <row r="545" ht="12.75" customHeight="1">
      <c r="B545" s="328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</row>
    <row r="546" ht="12.75" customHeight="1">
      <c r="B546" s="328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</row>
    <row r="547" ht="12.75" customHeight="1">
      <c r="B547" s="328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</row>
    <row r="548" ht="12.75" customHeight="1">
      <c r="B548" s="328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</row>
    <row r="549" ht="12.75" customHeight="1">
      <c r="B549" s="328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</row>
    <row r="550" ht="12.75" customHeight="1">
      <c r="B550" s="328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</row>
    <row r="551" ht="12.75" customHeight="1">
      <c r="B551" s="328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</row>
    <row r="552" ht="12.75" customHeight="1">
      <c r="B552" s="328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</row>
    <row r="553" ht="12.75" customHeight="1">
      <c r="B553" s="328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</row>
    <row r="554" ht="12.75" customHeight="1">
      <c r="B554" s="328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</row>
    <row r="555" ht="12.75" customHeight="1">
      <c r="B555" s="328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</row>
    <row r="556" ht="12.75" customHeight="1">
      <c r="B556" s="328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</row>
    <row r="557" ht="12.75" customHeight="1">
      <c r="B557" s="328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</row>
    <row r="558" ht="12.75" customHeight="1">
      <c r="B558" s="328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</row>
    <row r="559" ht="12.75" customHeight="1">
      <c r="B559" s="328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</row>
    <row r="560" ht="12.75" customHeight="1">
      <c r="B560" s="328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</row>
    <row r="561" ht="12.75" customHeight="1">
      <c r="B561" s="328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</row>
    <row r="562" ht="12.75" customHeight="1">
      <c r="B562" s="328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</row>
    <row r="563" ht="12.75" customHeight="1">
      <c r="B563" s="328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</row>
    <row r="564" ht="12.75" customHeight="1">
      <c r="B564" s="328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  <c r="AD564" s="286"/>
    </row>
    <row r="565" ht="12.75" customHeight="1">
      <c r="B565" s="328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  <c r="AD565" s="286"/>
    </row>
    <row r="566" ht="12.75" customHeight="1">
      <c r="B566" s="328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</row>
    <row r="567" ht="12.75" customHeight="1">
      <c r="B567" s="328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</row>
    <row r="568" ht="12.75" customHeight="1">
      <c r="B568" s="328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</row>
    <row r="569" ht="12.75" customHeight="1">
      <c r="B569" s="328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  <c r="AD569" s="286"/>
    </row>
    <row r="570" ht="12.75" customHeight="1">
      <c r="B570" s="328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  <c r="AD570" s="286"/>
    </row>
    <row r="571" ht="12.75" customHeight="1">
      <c r="B571" s="328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</row>
    <row r="572" ht="12.75" customHeight="1">
      <c r="B572" s="328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</row>
    <row r="573" ht="12.75" customHeight="1">
      <c r="B573" s="328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</row>
    <row r="574" ht="12.75" customHeight="1">
      <c r="B574" s="328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  <c r="AD574" s="286"/>
    </row>
    <row r="575" ht="12.75" customHeight="1">
      <c r="B575" s="328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  <c r="AD575" s="286"/>
    </row>
    <row r="576" ht="12.75" customHeight="1">
      <c r="B576" s="328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</row>
    <row r="577" ht="12.75" customHeight="1">
      <c r="B577" s="328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</row>
    <row r="578" ht="12.75" customHeight="1">
      <c r="B578" s="328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</row>
    <row r="579" ht="12.75" customHeight="1">
      <c r="B579" s="328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</row>
    <row r="580" ht="12.75" customHeight="1">
      <c r="B580" s="328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</row>
    <row r="581" ht="12.75" customHeight="1">
      <c r="B581" s="328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</row>
    <row r="582" ht="12.75" customHeight="1">
      <c r="B582" s="328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</row>
    <row r="583" ht="12.75" customHeight="1">
      <c r="B583" s="328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</row>
    <row r="584" ht="12.75" customHeight="1">
      <c r="B584" s="328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  <c r="AD584" s="286"/>
    </row>
    <row r="585" ht="12.75" customHeight="1">
      <c r="B585" s="328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  <c r="AD585" s="286"/>
    </row>
    <row r="586" ht="12.75" customHeight="1">
      <c r="B586" s="328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</row>
    <row r="587" ht="12.75" customHeight="1">
      <c r="B587" s="328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</row>
    <row r="588" ht="12.75" customHeight="1">
      <c r="B588" s="328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</row>
    <row r="589" ht="12.75" customHeight="1">
      <c r="B589" s="328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</row>
    <row r="590" ht="12.75" customHeight="1">
      <c r="B590" s="328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</row>
    <row r="591" ht="12.75" customHeight="1">
      <c r="B591" s="328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</row>
    <row r="592" ht="12.75" customHeight="1">
      <c r="B592" s="328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</row>
    <row r="593" ht="12.75" customHeight="1">
      <c r="B593" s="328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</row>
    <row r="594" ht="12.75" customHeight="1">
      <c r="B594" s="328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</row>
    <row r="595" ht="12.75" customHeight="1">
      <c r="B595" s="328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</row>
    <row r="596" ht="12.75" customHeight="1">
      <c r="B596" s="328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</row>
    <row r="597" ht="12.75" customHeight="1">
      <c r="B597" s="328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</row>
    <row r="598" ht="12.75" customHeight="1">
      <c r="B598" s="328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</row>
    <row r="599" ht="12.75" customHeight="1">
      <c r="B599" s="328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</row>
    <row r="600" ht="12.75" customHeight="1">
      <c r="B600" s="328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</row>
    <row r="601" ht="12.75" customHeight="1">
      <c r="B601" s="328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</row>
    <row r="602" ht="12.75" customHeight="1">
      <c r="B602" s="328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</row>
    <row r="603" ht="12.75" customHeight="1">
      <c r="B603" s="328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</row>
    <row r="604" ht="12.75" customHeight="1">
      <c r="B604" s="328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</row>
    <row r="605" ht="12.75" customHeight="1">
      <c r="B605" s="328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</row>
    <row r="606" ht="12.75" customHeight="1">
      <c r="B606" s="328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</row>
    <row r="607" ht="12.75" customHeight="1">
      <c r="B607" s="328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</row>
    <row r="608" ht="12.75" customHeight="1">
      <c r="B608" s="328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</row>
    <row r="609" ht="12.75" customHeight="1">
      <c r="B609" s="328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</row>
    <row r="610" ht="12.75" customHeight="1">
      <c r="B610" s="328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</row>
    <row r="611" ht="12.75" customHeight="1">
      <c r="B611" s="328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</row>
    <row r="612" ht="12.75" customHeight="1">
      <c r="B612" s="328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</row>
    <row r="613" ht="12.75" customHeight="1">
      <c r="B613" s="328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</row>
    <row r="614" ht="12.75" customHeight="1">
      <c r="B614" s="328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</row>
    <row r="615" ht="12.75" customHeight="1">
      <c r="B615" s="328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</row>
    <row r="616" ht="12.75" customHeight="1">
      <c r="B616" s="328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</row>
    <row r="617" ht="12.75" customHeight="1">
      <c r="B617" s="328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</row>
    <row r="618" ht="12.75" customHeight="1">
      <c r="B618" s="328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</row>
    <row r="619" ht="12.75" customHeight="1">
      <c r="B619" s="328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</row>
    <row r="620" ht="12.75" customHeight="1">
      <c r="B620" s="328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</row>
    <row r="621" ht="12.75" customHeight="1">
      <c r="B621" s="328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</row>
    <row r="622" ht="12.75" customHeight="1">
      <c r="B622" s="328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</row>
    <row r="623" ht="12.75" customHeight="1">
      <c r="B623" s="328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</row>
    <row r="624" ht="12.75" customHeight="1">
      <c r="B624" s="328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</row>
    <row r="625" ht="12.75" customHeight="1">
      <c r="B625" s="328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</row>
    <row r="626" ht="12.75" customHeight="1">
      <c r="B626" s="328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</row>
    <row r="627" ht="12.75" customHeight="1">
      <c r="B627" s="328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</row>
    <row r="628" ht="12.75" customHeight="1">
      <c r="B628" s="328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</row>
    <row r="629" ht="12.75" customHeight="1">
      <c r="B629" s="328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</row>
    <row r="630" ht="12.75" customHeight="1">
      <c r="B630" s="328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</row>
    <row r="631" ht="12.75" customHeight="1">
      <c r="B631" s="328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</row>
    <row r="632" ht="12.75" customHeight="1">
      <c r="B632" s="328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</row>
    <row r="633" ht="12.75" customHeight="1">
      <c r="B633" s="328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</row>
    <row r="634" ht="12.75" customHeight="1">
      <c r="B634" s="328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</row>
    <row r="635" ht="12.75" customHeight="1">
      <c r="B635" s="328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</row>
    <row r="636" ht="12.75" customHeight="1">
      <c r="B636" s="328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</row>
    <row r="637" ht="12.75" customHeight="1">
      <c r="B637" s="328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</row>
    <row r="638" ht="12.75" customHeight="1">
      <c r="B638" s="328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</row>
    <row r="639" ht="12.75" customHeight="1">
      <c r="B639" s="328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</row>
    <row r="640" ht="12.75" customHeight="1">
      <c r="B640" s="328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</row>
    <row r="641" ht="12.75" customHeight="1">
      <c r="B641" s="328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</row>
    <row r="642" ht="12.75" customHeight="1">
      <c r="B642" s="328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</row>
    <row r="643" ht="12.75" customHeight="1">
      <c r="B643" s="328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</row>
    <row r="644" ht="12.75" customHeight="1">
      <c r="B644" s="328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</row>
    <row r="645" ht="12.75" customHeight="1">
      <c r="B645" s="328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</row>
    <row r="646" ht="12.75" customHeight="1">
      <c r="B646" s="328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</row>
    <row r="647" ht="12.75" customHeight="1">
      <c r="B647" s="328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</row>
    <row r="648" ht="12.75" customHeight="1">
      <c r="B648" s="328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</row>
    <row r="649" ht="12.75" customHeight="1">
      <c r="B649" s="328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</row>
    <row r="650" ht="12.75" customHeight="1">
      <c r="B650" s="328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</row>
    <row r="651" ht="12.75" customHeight="1">
      <c r="B651" s="328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</row>
    <row r="652" ht="12.75" customHeight="1">
      <c r="B652" s="328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</row>
    <row r="653" ht="12.75" customHeight="1">
      <c r="B653" s="328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</row>
    <row r="654" ht="12.75" customHeight="1">
      <c r="B654" s="328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</row>
    <row r="655" ht="12.75" customHeight="1">
      <c r="B655" s="328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</row>
    <row r="656" ht="12.75" customHeight="1">
      <c r="B656" s="328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</row>
    <row r="657" ht="12.75" customHeight="1">
      <c r="B657" s="328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</row>
    <row r="658" ht="12.75" customHeight="1">
      <c r="B658" s="328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</row>
    <row r="659" ht="12.75" customHeight="1">
      <c r="B659" s="328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</row>
    <row r="660" ht="12.75" customHeight="1">
      <c r="B660" s="328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</row>
    <row r="661" ht="12.75" customHeight="1">
      <c r="B661" s="328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</row>
    <row r="662" ht="12.75" customHeight="1">
      <c r="B662" s="328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</row>
    <row r="663" ht="12.75" customHeight="1">
      <c r="B663" s="328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</row>
    <row r="664" ht="12.75" customHeight="1">
      <c r="B664" s="328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</row>
    <row r="665" ht="12.75" customHeight="1">
      <c r="B665" s="328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</row>
    <row r="666" ht="12.75" customHeight="1">
      <c r="B666" s="328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</row>
    <row r="667" ht="12.75" customHeight="1">
      <c r="B667" s="328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</row>
    <row r="668" ht="12.75" customHeight="1">
      <c r="B668" s="328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</row>
    <row r="669" ht="12.75" customHeight="1">
      <c r="B669" s="328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</row>
    <row r="670" ht="12.75" customHeight="1">
      <c r="B670" s="328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</row>
    <row r="671" ht="12.75" customHeight="1">
      <c r="B671" s="328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</row>
    <row r="672" ht="12.75" customHeight="1">
      <c r="B672" s="328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</row>
    <row r="673" ht="12.75" customHeight="1">
      <c r="B673" s="328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</row>
    <row r="674" ht="12.75" customHeight="1">
      <c r="B674" s="328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</row>
    <row r="675" ht="12.75" customHeight="1">
      <c r="B675" s="328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</row>
    <row r="676" ht="12.75" customHeight="1">
      <c r="B676" s="328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</row>
    <row r="677" ht="12.75" customHeight="1">
      <c r="B677" s="328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</row>
    <row r="678" ht="12.75" customHeight="1">
      <c r="B678" s="328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</row>
    <row r="679" ht="12.75" customHeight="1">
      <c r="B679" s="328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</row>
    <row r="680" ht="12.75" customHeight="1">
      <c r="B680" s="328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</row>
    <row r="681" ht="12.75" customHeight="1">
      <c r="B681" s="328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</row>
    <row r="682" ht="12.75" customHeight="1">
      <c r="B682" s="328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</row>
    <row r="683" ht="12.75" customHeight="1">
      <c r="B683" s="328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</row>
    <row r="684" ht="12.75" customHeight="1">
      <c r="B684" s="328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</row>
    <row r="685" ht="12.75" customHeight="1">
      <c r="B685" s="328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</row>
    <row r="686" ht="12.75" customHeight="1">
      <c r="B686" s="328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</row>
    <row r="687" ht="12.75" customHeight="1">
      <c r="B687" s="328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</row>
    <row r="688" ht="12.75" customHeight="1">
      <c r="B688" s="328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</row>
    <row r="689" ht="12.75" customHeight="1">
      <c r="B689" s="328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</row>
    <row r="690" ht="12.75" customHeight="1">
      <c r="B690" s="328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</row>
    <row r="691" ht="12.75" customHeight="1">
      <c r="B691" s="328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</row>
    <row r="692" ht="12.75" customHeight="1">
      <c r="B692" s="328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</row>
    <row r="693" ht="12.75" customHeight="1">
      <c r="B693" s="328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</row>
    <row r="694" ht="12.75" customHeight="1">
      <c r="B694" s="328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</row>
    <row r="695" ht="12.75" customHeight="1">
      <c r="B695" s="328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</row>
    <row r="696" ht="12.75" customHeight="1">
      <c r="B696" s="328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</row>
    <row r="697" ht="12.75" customHeight="1">
      <c r="B697" s="328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</row>
    <row r="698" ht="12.75" customHeight="1">
      <c r="B698" s="328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</row>
    <row r="699" ht="12.75" customHeight="1">
      <c r="B699" s="328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</row>
    <row r="700" ht="12.75" customHeight="1">
      <c r="B700" s="328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</row>
    <row r="701" ht="12.75" customHeight="1">
      <c r="B701" s="328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</row>
    <row r="702" ht="12.75" customHeight="1">
      <c r="B702" s="328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</row>
    <row r="703" ht="12.75" customHeight="1">
      <c r="B703" s="328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</row>
    <row r="704" ht="12.75" customHeight="1">
      <c r="B704" s="328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</row>
    <row r="705" ht="12.75" customHeight="1">
      <c r="B705" s="328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</row>
    <row r="706" ht="12.75" customHeight="1">
      <c r="B706" s="328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</row>
    <row r="707" ht="12.75" customHeight="1">
      <c r="B707" s="328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</row>
    <row r="708" ht="12.75" customHeight="1">
      <c r="B708" s="328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</row>
    <row r="709" ht="12.75" customHeight="1">
      <c r="B709" s="328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</row>
    <row r="710" ht="12.75" customHeight="1">
      <c r="B710" s="328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</row>
    <row r="711" ht="12.75" customHeight="1">
      <c r="B711" s="328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</row>
    <row r="712" ht="12.75" customHeight="1">
      <c r="B712" s="328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</row>
    <row r="713" ht="12.75" customHeight="1">
      <c r="B713" s="328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</row>
    <row r="714" ht="12.75" customHeight="1">
      <c r="B714" s="328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</row>
    <row r="715" ht="12.75" customHeight="1">
      <c r="B715" s="328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</row>
    <row r="716" ht="12.75" customHeight="1">
      <c r="B716" s="328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</row>
    <row r="717" ht="12.75" customHeight="1">
      <c r="B717" s="328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</row>
    <row r="718" ht="12.75" customHeight="1">
      <c r="B718" s="328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</row>
    <row r="719" ht="12.75" customHeight="1">
      <c r="B719" s="328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</row>
    <row r="720" ht="12.75" customHeight="1">
      <c r="B720" s="328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</row>
    <row r="721" ht="12.75" customHeight="1">
      <c r="B721" s="328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</row>
    <row r="722" ht="12.75" customHeight="1">
      <c r="B722" s="328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</row>
    <row r="723" ht="12.75" customHeight="1">
      <c r="B723" s="328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</row>
    <row r="724" ht="12.75" customHeight="1">
      <c r="B724" s="328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</row>
    <row r="725" ht="12.75" customHeight="1">
      <c r="B725" s="328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</row>
    <row r="726" ht="12.75" customHeight="1">
      <c r="B726" s="328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</row>
    <row r="727" ht="12.75" customHeight="1">
      <c r="B727" s="328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</row>
    <row r="728" ht="12.75" customHeight="1">
      <c r="B728" s="328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</row>
    <row r="729" ht="12.75" customHeight="1">
      <c r="B729" s="328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</row>
    <row r="730" ht="12.75" customHeight="1">
      <c r="B730" s="328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</row>
    <row r="731" ht="12.75" customHeight="1">
      <c r="B731" s="328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</row>
    <row r="732" ht="12.75" customHeight="1">
      <c r="B732" s="328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</row>
    <row r="733" ht="12.75" customHeight="1">
      <c r="B733" s="328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</row>
    <row r="734" ht="12.75" customHeight="1">
      <c r="B734" s="328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</row>
    <row r="735" ht="12.75" customHeight="1">
      <c r="B735" s="328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</row>
    <row r="736" ht="12.75" customHeight="1">
      <c r="B736" s="328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</row>
    <row r="737" ht="12.75" customHeight="1">
      <c r="B737" s="328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</row>
    <row r="738" ht="12.75" customHeight="1">
      <c r="B738" s="328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</row>
    <row r="739" ht="12.75" customHeight="1">
      <c r="B739" s="328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</row>
    <row r="740" ht="12.75" customHeight="1">
      <c r="B740" s="328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</row>
    <row r="741" ht="12.75" customHeight="1">
      <c r="B741" s="328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</row>
    <row r="742" ht="12.75" customHeight="1">
      <c r="B742" s="328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</row>
    <row r="743" ht="12.75" customHeight="1">
      <c r="B743" s="328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</row>
    <row r="744" ht="12.75" customHeight="1">
      <c r="B744" s="328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</row>
    <row r="745" ht="12.75" customHeight="1">
      <c r="B745" s="328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</row>
    <row r="746" ht="12.75" customHeight="1">
      <c r="B746" s="328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</row>
    <row r="747" ht="12.75" customHeight="1">
      <c r="B747" s="328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</row>
    <row r="748" ht="12.75" customHeight="1">
      <c r="B748" s="328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</row>
    <row r="749" ht="12.75" customHeight="1">
      <c r="B749" s="328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</row>
    <row r="750" ht="12.75" customHeight="1">
      <c r="B750" s="328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</row>
    <row r="751" ht="12.75" customHeight="1">
      <c r="B751" s="328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</row>
    <row r="752" ht="12.75" customHeight="1">
      <c r="B752" s="328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</row>
    <row r="753" ht="12.75" customHeight="1">
      <c r="B753" s="328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</row>
    <row r="754" ht="12.75" customHeight="1">
      <c r="B754" s="328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</row>
    <row r="755" ht="12.75" customHeight="1">
      <c r="B755" s="328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</row>
    <row r="756" ht="12.75" customHeight="1">
      <c r="B756" s="328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</row>
    <row r="757" ht="12.75" customHeight="1">
      <c r="B757" s="328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</row>
    <row r="758" ht="12.75" customHeight="1">
      <c r="B758" s="328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</row>
    <row r="759" ht="12.75" customHeight="1">
      <c r="B759" s="328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</row>
    <row r="760" ht="12.75" customHeight="1">
      <c r="B760" s="328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</row>
    <row r="761" ht="12.75" customHeight="1">
      <c r="B761" s="328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</row>
    <row r="762" ht="12.75" customHeight="1">
      <c r="B762" s="328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</row>
    <row r="763" ht="12.75" customHeight="1">
      <c r="B763" s="328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</row>
    <row r="764" ht="12.75" customHeight="1">
      <c r="B764" s="328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</row>
    <row r="765" ht="12.75" customHeight="1">
      <c r="B765" s="328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</row>
    <row r="766" ht="12.75" customHeight="1">
      <c r="B766" s="328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</row>
    <row r="767" ht="12.75" customHeight="1">
      <c r="B767" s="328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</row>
    <row r="768" ht="12.75" customHeight="1">
      <c r="B768" s="328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</row>
    <row r="769" ht="12.75" customHeight="1">
      <c r="B769" s="328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</row>
    <row r="770" ht="12.75" customHeight="1">
      <c r="B770" s="328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</row>
    <row r="771" ht="12.75" customHeight="1">
      <c r="B771" s="328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</row>
    <row r="772" ht="12.75" customHeight="1">
      <c r="B772" s="328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</row>
    <row r="773" ht="12.75" customHeight="1">
      <c r="B773" s="328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</row>
    <row r="774" ht="12.75" customHeight="1">
      <c r="B774" s="328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</row>
    <row r="775" ht="12.75" customHeight="1">
      <c r="B775" s="328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</row>
    <row r="776" ht="12.75" customHeight="1">
      <c r="B776" s="328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</row>
    <row r="777" ht="12.75" customHeight="1">
      <c r="B777" s="328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</row>
    <row r="778" ht="12.75" customHeight="1">
      <c r="B778" s="328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</row>
    <row r="779" ht="12.75" customHeight="1">
      <c r="B779" s="328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</row>
    <row r="780" ht="12.75" customHeight="1">
      <c r="B780" s="328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</row>
    <row r="781" ht="12.75" customHeight="1">
      <c r="B781" s="328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</row>
    <row r="782" ht="12.75" customHeight="1">
      <c r="B782" s="328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</row>
    <row r="783" ht="12.75" customHeight="1">
      <c r="B783" s="328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</row>
    <row r="784" ht="12.75" customHeight="1">
      <c r="B784" s="328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</row>
    <row r="785" ht="12.75" customHeight="1">
      <c r="B785" s="328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</row>
    <row r="786" ht="12.75" customHeight="1">
      <c r="B786" s="328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</row>
    <row r="787" ht="12.75" customHeight="1">
      <c r="B787" s="328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</row>
    <row r="788" ht="12.75" customHeight="1">
      <c r="B788" s="328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</row>
    <row r="789" ht="12.75" customHeight="1">
      <c r="B789" s="328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</row>
    <row r="790" ht="12.75" customHeight="1">
      <c r="B790" s="328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</row>
    <row r="791" ht="12.75" customHeight="1">
      <c r="B791" s="328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</row>
    <row r="792" ht="12.75" customHeight="1">
      <c r="B792" s="328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</row>
    <row r="793" ht="12.75" customHeight="1">
      <c r="B793" s="328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</row>
    <row r="794" ht="12.75" customHeight="1">
      <c r="B794" s="328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  <c r="AD794" s="286"/>
    </row>
    <row r="795" ht="12.75" customHeight="1">
      <c r="B795" s="328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  <c r="AD795" s="286"/>
    </row>
    <row r="796" ht="12.75" customHeight="1">
      <c r="B796" s="328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</row>
    <row r="797" ht="12.75" customHeight="1">
      <c r="B797" s="328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</row>
    <row r="798" ht="12.75" customHeight="1">
      <c r="B798" s="328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</row>
    <row r="799" ht="12.75" customHeight="1">
      <c r="B799" s="328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</row>
    <row r="800" ht="12.75" customHeight="1">
      <c r="B800" s="328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</row>
    <row r="801" ht="12.75" customHeight="1">
      <c r="B801" s="328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</row>
    <row r="802" ht="12.75" customHeight="1">
      <c r="B802" s="328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</row>
    <row r="803" ht="12.75" customHeight="1">
      <c r="B803" s="328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</row>
    <row r="804" ht="12.75" customHeight="1">
      <c r="B804" s="328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  <c r="AD804" s="286"/>
    </row>
    <row r="805" ht="12.75" customHeight="1">
      <c r="B805" s="328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  <c r="AD805" s="286"/>
    </row>
    <row r="806" ht="12.75" customHeight="1">
      <c r="B806" s="328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</row>
    <row r="807" ht="12.75" customHeight="1">
      <c r="B807" s="328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</row>
    <row r="808" ht="12.75" customHeight="1">
      <c r="B808" s="328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</row>
    <row r="809" ht="12.75" customHeight="1">
      <c r="B809" s="328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</row>
    <row r="810" ht="12.75" customHeight="1">
      <c r="B810" s="328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</row>
    <row r="811" ht="12.75" customHeight="1">
      <c r="B811" s="328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</row>
    <row r="812" ht="12.75" customHeight="1">
      <c r="B812" s="328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</row>
    <row r="813" ht="12.75" customHeight="1">
      <c r="B813" s="328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</row>
    <row r="814" ht="12.75" customHeight="1">
      <c r="B814" s="328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</row>
    <row r="815" ht="12.75" customHeight="1">
      <c r="B815" s="328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</row>
    <row r="816" ht="12.75" customHeight="1">
      <c r="B816" s="328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</row>
    <row r="817" ht="12.75" customHeight="1">
      <c r="B817" s="328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</row>
    <row r="818" ht="12.75" customHeight="1">
      <c r="B818" s="328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</row>
    <row r="819" ht="12.75" customHeight="1">
      <c r="B819" s="328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</row>
    <row r="820" ht="12.75" customHeight="1">
      <c r="B820" s="328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</row>
    <row r="821" ht="12.75" customHeight="1">
      <c r="B821" s="328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</row>
    <row r="822" ht="12.75" customHeight="1">
      <c r="B822" s="328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</row>
    <row r="823" ht="12.75" customHeight="1">
      <c r="B823" s="328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</row>
    <row r="824" ht="12.75" customHeight="1">
      <c r="B824" s="328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</row>
    <row r="825" ht="12.75" customHeight="1">
      <c r="B825" s="328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</row>
    <row r="826" ht="12.75" customHeight="1">
      <c r="B826" s="328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</row>
    <row r="827" ht="12.75" customHeight="1">
      <c r="B827" s="328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</row>
    <row r="828" ht="12.75" customHeight="1">
      <c r="B828" s="328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</row>
    <row r="829" ht="12.75" customHeight="1">
      <c r="B829" s="328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</row>
    <row r="830" ht="12.75" customHeight="1">
      <c r="B830" s="328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</row>
    <row r="831" ht="12.75" customHeight="1">
      <c r="B831" s="328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</row>
    <row r="832" ht="12.75" customHeight="1">
      <c r="B832" s="328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</row>
    <row r="833" ht="12.75" customHeight="1">
      <c r="B833" s="328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</row>
    <row r="834" ht="12.75" customHeight="1">
      <c r="B834" s="328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</row>
    <row r="835" ht="12.75" customHeight="1">
      <c r="B835" s="328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</row>
    <row r="836" ht="12.75" customHeight="1">
      <c r="B836" s="328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</row>
    <row r="837" ht="12.75" customHeight="1">
      <c r="B837" s="328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</row>
    <row r="838" ht="12.75" customHeight="1">
      <c r="B838" s="328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</row>
    <row r="839" ht="12.75" customHeight="1">
      <c r="B839" s="328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</row>
    <row r="840" ht="12.75" customHeight="1">
      <c r="B840" s="328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</row>
    <row r="841" ht="12.75" customHeight="1">
      <c r="B841" s="328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</row>
    <row r="842" ht="12.75" customHeight="1">
      <c r="B842" s="328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</row>
    <row r="843" ht="12.75" customHeight="1">
      <c r="B843" s="328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</row>
    <row r="844" ht="12.75" customHeight="1">
      <c r="B844" s="328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</row>
    <row r="845" ht="12.75" customHeight="1">
      <c r="B845" s="328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</row>
    <row r="846" ht="12.75" customHeight="1">
      <c r="B846" s="328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</row>
    <row r="847" ht="12.75" customHeight="1">
      <c r="B847" s="328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</row>
    <row r="848" ht="12.75" customHeight="1">
      <c r="B848" s="328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</row>
    <row r="849" ht="12.75" customHeight="1">
      <c r="B849" s="328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</row>
    <row r="850" ht="12.75" customHeight="1">
      <c r="B850" s="328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</row>
    <row r="851" ht="12.75" customHeight="1">
      <c r="B851" s="328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</row>
    <row r="852" ht="12.75" customHeight="1">
      <c r="B852" s="328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</row>
    <row r="853" ht="12.75" customHeight="1">
      <c r="B853" s="328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</row>
    <row r="854" ht="12.75" customHeight="1">
      <c r="B854" s="328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</row>
    <row r="855" ht="12.75" customHeight="1">
      <c r="B855" s="328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</row>
    <row r="856" ht="12.75" customHeight="1">
      <c r="B856" s="328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</row>
    <row r="857" ht="12.75" customHeight="1">
      <c r="B857" s="328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</row>
    <row r="858" ht="12.75" customHeight="1">
      <c r="B858" s="328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</row>
    <row r="859" ht="12.75" customHeight="1">
      <c r="B859" s="328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</row>
    <row r="860" ht="12.75" customHeight="1">
      <c r="B860" s="328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</row>
    <row r="861" ht="12.75" customHeight="1">
      <c r="B861" s="328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</row>
    <row r="862" ht="12.75" customHeight="1">
      <c r="B862" s="328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</row>
    <row r="863" ht="12.75" customHeight="1">
      <c r="B863" s="328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</row>
    <row r="864" ht="12.75" customHeight="1">
      <c r="B864" s="328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</row>
    <row r="865" ht="12.75" customHeight="1">
      <c r="B865" s="328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</row>
    <row r="866" ht="12.75" customHeight="1">
      <c r="B866" s="328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</row>
    <row r="867" ht="12.75" customHeight="1">
      <c r="B867" s="328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</row>
    <row r="868" ht="12.75" customHeight="1">
      <c r="B868" s="328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</row>
    <row r="869" ht="12.75" customHeight="1">
      <c r="B869" s="328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</row>
    <row r="870" ht="12.75" customHeight="1">
      <c r="B870" s="328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</row>
    <row r="871" ht="12.75" customHeight="1">
      <c r="B871" s="328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</row>
    <row r="872" ht="12.75" customHeight="1">
      <c r="B872" s="328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</row>
    <row r="873" ht="12.75" customHeight="1">
      <c r="B873" s="328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</row>
    <row r="874" ht="12.75" customHeight="1">
      <c r="B874" s="328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</row>
    <row r="875" ht="12.75" customHeight="1">
      <c r="B875" s="328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</row>
    <row r="876" ht="12.75" customHeight="1">
      <c r="B876" s="328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</row>
    <row r="877" ht="12.75" customHeight="1">
      <c r="B877" s="328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</row>
    <row r="878" ht="12.75" customHeight="1">
      <c r="B878" s="328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</row>
    <row r="879" ht="12.75" customHeight="1">
      <c r="B879" s="328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</row>
    <row r="880" ht="12.75" customHeight="1">
      <c r="B880" s="328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</row>
    <row r="881" ht="12.75" customHeight="1">
      <c r="B881" s="328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</row>
    <row r="882" ht="12.75" customHeight="1">
      <c r="B882" s="328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</row>
    <row r="883" ht="12.75" customHeight="1">
      <c r="B883" s="328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</row>
    <row r="884" ht="12.75" customHeight="1">
      <c r="B884" s="328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</row>
    <row r="885" ht="12.75" customHeight="1">
      <c r="B885" s="328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</row>
    <row r="886" ht="12.75" customHeight="1">
      <c r="B886" s="328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</row>
    <row r="887" ht="12.75" customHeight="1">
      <c r="B887" s="328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</row>
    <row r="888" ht="12.75" customHeight="1">
      <c r="B888" s="328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</row>
    <row r="889" ht="12.75" customHeight="1">
      <c r="B889" s="328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</row>
    <row r="890" ht="12.75" customHeight="1">
      <c r="B890" s="328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  <c r="AD890" s="286"/>
    </row>
    <row r="891" ht="12.75" customHeight="1">
      <c r="B891" s="328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  <c r="AD891" s="286"/>
    </row>
    <row r="892" ht="12.75" customHeight="1">
      <c r="B892" s="328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  <c r="AD892" s="286"/>
    </row>
    <row r="893" ht="12.75" customHeight="1">
      <c r="B893" s="328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  <c r="AD893" s="286"/>
    </row>
    <row r="894" ht="12.75" customHeight="1">
      <c r="B894" s="328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  <c r="AD894" s="286"/>
    </row>
    <row r="895" ht="12.75" customHeight="1">
      <c r="B895" s="328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</row>
    <row r="896" ht="12.75" customHeight="1">
      <c r="B896" s="328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  <c r="AD896" s="286"/>
    </row>
    <row r="897" ht="12.75" customHeight="1">
      <c r="B897" s="328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</row>
    <row r="898" ht="12.75" customHeight="1">
      <c r="B898" s="328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</row>
    <row r="899" ht="12.75" customHeight="1">
      <c r="B899" s="328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</row>
    <row r="900" ht="12.75" customHeight="1">
      <c r="B900" s="328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</row>
    <row r="901" ht="12.75" customHeight="1">
      <c r="B901" s="328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</row>
    <row r="902" ht="12.75" customHeight="1">
      <c r="B902" s="328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</row>
    <row r="903" ht="12.75" customHeight="1">
      <c r="B903" s="328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</row>
    <row r="904" ht="12.75" customHeight="1">
      <c r="B904" s="328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</row>
    <row r="905" ht="12.75" customHeight="1">
      <c r="B905" s="328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</row>
    <row r="906" ht="12.75" customHeight="1">
      <c r="B906" s="328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</row>
    <row r="907" ht="12.75" customHeight="1">
      <c r="B907" s="328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</row>
    <row r="908" ht="12.75" customHeight="1">
      <c r="B908" s="328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</row>
    <row r="909" ht="12.75" customHeight="1">
      <c r="B909" s="328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</row>
    <row r="910" ht="12.75" customHeight="1">
      <c r="B910" s="328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</row>
    <row r="911" ht="12.75" customHeight="1">
      <c r="B911" s="328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</row>
    <row r="912" ht="12.75" customHeight="1">
      <c r="B912" s="328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</row>
    <row r="913" ht="12.75" customHeight="1">
      <c r="B913" s="328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</row>
    <row r="914" ht="12.75" customHeight="1">
      <c r="B914" s="328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</row>
    <row r="915" ht="12.75" customHeight="1">
      <c r="B915" s="328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</row>
    <row r="916" ht="12.75" customHeight="1">
      <c r="B916" s="328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</row>
    <row r="917" ht="12.75" customHeight="1">
      <c r="B917" s="328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</row>
    <row r="918" ht="12.75" customHeight="1">
      <c r="B918" s="328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</row>
    <row r="919" ht="12.75" customHeight="1">
      <c r="B919" s="328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</row>
    <row r="920" ht="12.75" customHeight="1">
      <c r="B920" s="328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</row>
    <row r="921" ht="12.75" customHeight="1">
      <c r="B921" s="328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</row>
    <row r="922" ht="12.75" customHeight="1">
      <c r="B922" s="328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</row>
    <row r="923" ht="12.75" customHeight="1">
      <c r="B923" s="328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</row>
    <row r="924" ht="12.75" customHeight="1">
      <c r="B924" s="328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</row>
    <row r="925" ht="12.75" customHeight="1">
      <c r="B925" s="328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</row>
    <row r="926" ht="12.75" customHeight="1">
      <c r="B926" s="328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</row>
    <row r="927" ht="12.75" customHeight="1">
      <c r="B927" s="328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</row>
    <row r="928" ht="12.75" customHeight="1">
      <c r="B928" s="328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</row>
    <row r="929" ht="12.75" customHeight="1">
      <c r="B929" s="328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</row>
    <row r="930" ht="12.75" customHeight="1">
      <c r="B930" s="328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</row>
    <row r="931" ht="12.75" customHeight="1">
      <c r="B931" s="328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</row>
    <row r="932" ht="12.75" customHeight="1">
      <c r="B932" s="328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</row>
    <row r="933" ht="12.75" customHeight="1">
      <c r="B933" s="328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</row>
    <row r="934" ht="12.75" customHeight="1">
      <c r="B934" s="328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</row>
    <row r="935" ht="12.75" customHeight="1">
      <c r="B935" s="328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</row>
    <row r="936" ht="12.75" customHeight="1">
      <c r="B936" s="328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</row>
    <row r="937" ht="12.75" customHeight="1">
      <c r="B937" s="328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</row>
    <row r="938" ht="12.75" customHeight="1">
      <c r="B938" s="328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</row>
    <row r="939" ht="12.75" customHeight="1">
      <c r="B939" s="328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</row>
    <row r="940" ht="12.75" customHeight="1">
      <c r="B940" s="328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</row>
    <row r="941" ht="12.75" customHeight="1">
      <c r="B941" s="328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</row>
    <row r="942" ht="12.75" customHeight="1">
      <c r="B942" s="328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</row>
    <row r="943" ht="12.75" customHeight="1">
      <c r="B943" s="328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</row>
    <row r="944" ht="12.75" customHeight="1">
      <c r="B944" s="328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</row>
    <row r="945" ht="12.75" customHeight="1">
      <c r="B945" s="328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</row>
    <row r="946" ht="12.75" customHeight="1">
      <c r="B946" s="328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</row>
    <row r="947" ht="12.75" customHeight="1">
      <c r="B947" s="328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</row>
    <row r="948" ht="12.75" customHeight="1">
      <c r="B948" s="328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</row>
    <row r="949" ht="12.75" customHeight="1">
      <c r="B949" s="328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</row>
    <row r="950" ht="12.75" customHeight="1">
      <c r="B950" s="328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</row>
    <row r="951" ht="12.75" customHeight="1">
      <c r="B951" s="328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  <c r="AD951" s="286"/>
    </row>
    <row r="952" ht="12.75" customHeight="1">
      <c r="B952" s="328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  <c r="AD952" s="286"/>
    </row>
    <row r="953" ht="12.75" customHeight="1">
      <c r="B953" s="328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  <c r="AD953" s="286"/>
    </row>
    <row r="954" ht="12.75" customHeight="1">
      <c r="B954" s="328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</row>
    <row r="955" ht="12.75" customHeight="1">
      <c r="B955" s="328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</row>
    <row r="956" ht="12.75" customHeight="1">
      <c r="B956" s="328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</row>
    <row r="957" ht="12.75" customHeight="1">
      <c r="B957" s="328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</row>
    <row r="958" ht="12.75" customHeight="1">
      <c r="B958" s="328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</row>
    <row r="959" ht="12.75" customHeight="1">
      <c r="B959" s="328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</row>
    <row r="960" ht="12.75" customHeight="1">
      <c r="B960" s="328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</row>
    <row r="961" ht="12.75" customHeight="1">
      <c r="B961" s="328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</row>
    <row r="962" ht="12.75" customHeight="1">
      <c r="B962" s="328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</row>
    <row r="963" ht="12.75" customHeight="1">
      <c r="B963" s="328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</row>
    <row r="964" ht="12.75" customHeight="1">
      <c r="B964" s="328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</row>
    <row r="965" ht="12.75" customHeight="1">
      <c r="B965" s="328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</row>
    <row r="966" ht="12.75" customHeight="1">
      <c r="B966" s="328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</row>
    <row r="967" ht="12.75" customHeight="1">
      <c r="B967" s="328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</row>
    <row r="968" ht="12.75" customHeight="1">
      <c r="B968" s="328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</row>
    <row r="969" ht="12.75" customHeight="1">
      <c r="B969" s="328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</row>
    <row r="970" ht="12.75" customHeight="1">
      <c r="B970" s="328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</row>
    <row r="971" ht="12.75" customHeight="1">
      <c r="B971" s="328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</row>
    <row r="972" ht="12.75" customHeight="1">
      <c r="B972" s="328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</row>
    <row r="973" ht="12.75" customHeight="1">
      <c r="B973" s="328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</row>
    <row r="974" ht="12.75" customHeight="1">
      <c r="B974" s="328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</row>
    <row r="975" ht="12.75" customHeight="1">
      <c r="B975" s="328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</row>
    <row r="976" ht="12.75" customHeight="1">
      <c r="B976" s="328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</row>
    <row r="977" ht="12.75" customHeight="1">
      <c r="B977" s="328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</row>
    <row r="978" ht="12.75" customHeight="1">
      <c r="B978" s="328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</row>
    <row r="979" ht="12.75" customHeight="1">
      <c r="B979" s="328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</row>
    <row r="980" ht="12.75" customHeight="1">
      <c r="B980" s="328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</row>
    <row r="981" ht="12.75" customHeight="1">
      <c r="B981" s="328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</row>
    <row r="982" ht="12.75" customHeight="1">
      <c r="B982" s="328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</row>
    <row r="983" ht="12.75" customHeight="1">
      <c r="B983" s="328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</row>
    <row r="984" ht="12.75" customHeight="1">
      <c r="B984" s="328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</row>
    <row r="985" ht="12.75" customHeight="1">
      <c r="B985" s="328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</row>
    <row r="986" ht="12.75" customHeight="1">
      <c r="B986" s="328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</row>
    <row r="987" ht="12.75" customHeight="1">
      <c r="B987" s="328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</row>
    <row r="988" ht="12.75" customHeight="1">
      <c r="B988" s="328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</row>
    <row r="989" ht="12.75" customHeight="1">
      <c r="B989" s="328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</row>
    <row r="990" ht="12.75" customHeight="1">
      <c r="B990" s="328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</row>
    <row r="991" ht="12.75" customHeight="1">
      <c r="B991" s="328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</row>
  </sheetData>
  <conditionalFormatting sqref="D3:AD3 B4:B68">
    <cfRule type="cellIs" dxfId="1" priority="1" operator="lessThanOr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231.14"/>
    <col customWidth="1" min="4" max="4" width="16.14"/>
    <col customWidth="1" min="5" max="26" width="9.0"/>
  </cols>
  <sheetData>
    <row r="1" ht="11.25" customHeight="1">
      <c r="A1" s="4" t="s">
        <v>242</v>
      </c>
    </row>
    <row r="2" ht="19.5" customHeight="1">
      <c r="A2" s="329" t="s">
        <v>243</v>
      </c>
      <c r="B2" s="330" t="s">
        <v>244</v>
      </c>
      <c r="C2" s="38"/>
      <c r="D2" s="331" t="s">
        <v>245</v>
      </c>
    </row>
    <row r="3" ht="13.5" customHeight="1">
      <c r="A3" s="332" t="s">
        <v>213</v>
      </c>
      <c r="B3" s="333" t="s">
        <v>246</v>
      </c>
      <c r="C3" s="38"/>
      <c r="D3" s="334">
        <v>2022.0</v>
      </c>
    </row>
    <row r="4" ht="13.5" customHeight="1">
      <c r="A4" s="332" t="s">
        <v>214</v>
      </c>
      <c r="B4" s="333" t="s">
        <v>247</v>
      </c>
      <c r="C4" s="335"/>
      <c r="D4" s="334">
        <v>2022.0</v>
      </c>
    </row>
    <row r="5" ht="13.5" customHeight="1">
      <c r="A5" s="332" t="s">
        <v>215</v>
      </c>
      <c r="B5" s="333" t="s">
        <v>248</v>
      </c>
      <c r="C5" s="335"/>
      <c r="D5" s="334">
        <v>2022.0</v>
      </c>
    </row>
    <row r="6" ht="13.5" customHeight="1">
      <c r="A6" s="332" t="s">
        <v>216</v>
      </c>
      <c r="B6" s="333" t="s">
        <v>249</v>
      </c>
      <c r="C6" s="335"/>
      <c r="D6" s="334">
        <v>2022.0</v>
      </c>
    </row>
    <row r="7" ht="13.5" customHeight="1">
      <c r="A7" s="332" t="s">
        <v>217</v>
      </c>
      <c r="B7" s="333" t="s">
        <v>250</v>
      </c>
      <c r="C7" s="335"/>
      <c r="D7" s="334">
        <v>2022.0</v>
      </c>
    </row>
    <row r="8" ht="13.5" customHeight="1">
      <c r="A8" s="332" t="s">
        <v>218</v>
      </c>
      <c r="B8" s="333" t="s">
        <v>251</v>
      </c>
      <c r="C8" s="335"/>
      <c r="D8" s="334">
        <v>2022.0</v>
      </c>
    </row>
    <row r="9" ht="13.5" customHeight="1">
      <c r="A9" s="332" t="s">
        <v>200</v>
      </c>
      <c r="B9" s="333" t="s">
        <v>252</v>
      </c>
      <c r="C9" s="335"/>
      <c r="D9" s="334">
        <v>2022.0</v>
      </c>
    </row>
    <row r="10" ht="13.5" customHeight="1">
      <c r="A10" s="332" t="s">
        <v>219</v>
      </c>
      <c r="B10" s="333" t="s">
        <v>253</v>
      </c>
      <c r="C10" s="335"/>
      <c r="D10" s="334">
        <v>2022.0</v>
      </c>
    </row>
    <row r="11" ht="13.5" customHeight="1">
      <c r="A11" s="332" t="s">
        <v>220</v>
      </c>
      <c r="B11" s="333" t="s">
        <v>254</v>
      </c>
      <c r="C11" s="38"/>
      <c r="D11" s="334">
        <v>2022.0</v>
      </c>
    </row>
    <row r="12" ht="13.5" customHeight="1">
      <c r="A12" s="332" t="s">
        <v>221</v>
      </c>
      <c r="B12" s="333" t="s">
        <v>255</v>
      </c>
      <c r="C12" s="38"/>
      <c r="D12" s="334">
        <v>2022.0</v>
      </c>
    </row>
    <row r="13" ht="13.5" customHeight="1">
      <c r="A13" s="332" t="s">
        <v>222</v>
      </c>
      <c r="B13" s="333" t="s">
        <v>256</v>
      </c>
      <c r="C13" s="38"/>
      <c r="D13" s="334">
        <v>2022.0</v>
      </c>
    </row>
    <row r="14" ht="13.5" customHeight="1">
      <c r="A14" s="332" t="s">
        <v>223</v>
      </c>
      <c r="B14" s="333" t="s">
        <v>257</v>
      </c>
      <c r="C14" s="38"/>
      <c r="D14" s="334">
        <v>2022.0</v>
      </c>
    </row>
    <row r="15" ht="13.5" customHeight="1">
      <c r="A15" s="332" t="s">
        <v>224</v>
      </c>
      <c r="B15" s="333" t="s">
        <v>258</v>
      </c>
      <c r="C15" s="38"/>
      <c r="D15" s="334">
        <v>2022.0</v>
      </c>
    </row>
    <row r="16" ht="12.75" customHeight="1">
      <c r="A16" s="332" t="s">
        <v>225</v>
      </c>
      <c r="B16" s="333" t="s">
        <v>259</v>
      </c>
      <c r="C16" s="38"/>
      <c r="D16" s="334">
        <v>2022.0</v>
      </c>
    </row>
    <row r="17" ht="12.75" customHeight="1">
      <c r="A17" s="332" t="s">
        <v>226</v>
      </c>
      <c r="B17" s="333" t="s">
        <v>260</v>
      </c>
      <c r="C17" s="38"/>
      <c r="D17" s="334">
        <v>2022.0</v>
      </c>
    </row>
    <row r="18" ht="12.75" customHeight="1">
      <c r="A18" s="332" t="s">
        <v>227</v>
      </c>
      <c r="B18" s="333" t="s">
        <v>261</v>
      </c>
      <c r="C18" s="38"/>
      <c r="D18" s="334">
        <v>2022.0</v>
      </c>
    </row>
    <row r="19" ht="13.5" customHeight="1">
      <c r="A19" s="332" t="s">
        <v>228</v>
      </c>
      <c r="B19" s="333" t="s">
        <v>262</v>
      </c>
      <c r="C19" s="38"/>
      <c r="D19" s="334">
        <v>2022.0</v>
      </c>
    </row>
    <row r="20" ht="13.5" customHeight="1">
      <c r="A20" s="332" t="s">
        <v>229</v>
      </c>
      <c r="B20" s="333" t="s">
        <v>263</v>
      </c>
      <c r="C20" s="38"/>
      <c r="D20" s="334">
        <v>2022.0</v>
      </c>
    </row>
    <row r="21" ht="13.5" customHeight="1">
      <c r="A21" s="332" t="s">
        <v>230</v>
      </c>
      <c r="B21" s="333" t="s">
        <v>264</v>
      </c>
      <c r="C21" s="38"/>
      <c r="D21" s="334">
        <v>2022.0</v>
      </c>
    </row>
    <row r="22" ht="13.5" customHeight="1">
      <c r="A22" s="332" t="s">
        <v>231</v>
      </c>
      <c r="B22" s="333" t="s">
        <v>265</v>
      </c>
      <c r="C22" s="38"/>
      <c r="D22" s="334">
        <v>2022.0</v>
      </c>
    </row>
    <row r="23" ht="13.5" customHeight="1">
      <c r="A23" s="332" t="s">
        <v>232</v>
      </c>
      <c r="B23" s="333" t="s">
        <v>266</v>
      </c>
      <c r="C23" s="38"/>
      <c r="D23" s="334">
        <v>2022.0</v>
      </c>
    </row>
    <row r="24" ht="12.75" customHeight="1">
      <c r="A24" s="332" t="s">
        <v>233</v>
      </c>
      <c r="B24" s="333" t="s">
        <v>267</v>
      </c>
      <c r="C24" s="38"/>
      <c r="D24" s="334">
        <v>2022.0</v>
      </c>
    </row>
    <row r="25" ht="12.75" customHeight="1">
      <c r="A25" s="332" t="s">
        <v>234</v>
      </c>
      <c r="B25" s="333" t="s">
        <v>268</v>
      </c>
      <c r="C25" s="38"/>
      <c r="D25" s="334">
        <v>2022.0</v>
      </c>
    </row>
    <row r="26" ht="12.75" customHeight="1">
      <c r="A26" s="332" t="s">
        <v>235</v>
      </c>
      <c r="B26" s="333" t="s">
        <v>269</v>
      </c>
      <c r="C26" s="38"/>
      <c r="D26" s="334">
        <v>2022.0</v>
      </c>
    </row>
    <row r="27" ht="12.75" customHeight="1">
      <c r="A27" s="332" t="s">
        <v>236</v>
      </c>
      <c r="B27" s="333" t="s">
        <v>270</v>
      </c>
      <c r="C27" s="38"/>
      <c r="D27" s="334">
        <v>2022.0</v>
      </c>
    </row>
    <row r="28" ht="12.75" customHeight="1">
      <c r="A28" s="332" t="s">
        <v>237</v>
      </c>
      <c r="B28" s="333" t="s">
        <v>271</v>
      </c>
      <c r="C28" s="38"/>
      <c r="D28" s="334">
        <v>2022.0</v>
      </c>
    </row>
    <row r="29" ht="12.75" customHeight="1">
      <c r="A29" s="332" t="s">
        <v>238</v>
      </c>
      <c r="B29" s="333" t="s">
        <v>272</v>
      </c>
      <c r="C29" s="38"/>
      <c r="D29" s="334">
        <v>2022.0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21">
    <mergeCell ref="B2:C2"/>
    <mergeCell ref="B3:C3"/>
    <mergeCell ref="B11:C11"/>
    <mergeCell ref="B12:C12"/>
    <mergeCell ref="B13:C13"/>
    <mergeCell ref="B14:C14"/>
    <mergeCell ref="B15:C15"/>
    <mergeCell ref="B23:C23"/>
    <mergeCell ref="B24:C24"/>
    <mergeCell ref="B25:C25"/>
    <mergeCell ref="B26:C26"/>
    <mergeCell ref="B27:C27"/>
    <mergeCell ref="B28:C28"/>
    <mergeCell ref="B29:C29"/>
    <mergeCell ref="B16:C16"/>
    <mergeCell ref="B17:C17"/>
    <mergeCell ref="B18:C18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2019-04-02T12:36:31Z</dcterms:created>
  <dc:creator>Борисов Олег Игоревич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0x0101000D35CBF0DEBCE1469179D223209193ED</vt:lpwstr>
  </property>
</Properties>
</file>